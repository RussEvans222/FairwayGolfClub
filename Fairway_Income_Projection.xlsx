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5-Year Projection" sheetId="2" state="visible" r:id="rId4"/>
    <sheet name="Year 1 Monthly" sheetId="3" state="visible" r:id="rId5"/>
    <sheet name="The Pitch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<sst xmlns="http://schemas.openxmlformats.org/spreadsheetml/2006/main" count="171" uniqueCount="170">
  <si>
    <t xml:space="preserve">FAIRWAY GOLF CLUB — Model Assumptions</t>
  </si>
  <si>
    <t xml:space="preserve">Blue values = inputs you can change to run scenarios</t>
  </si>
  <si>
    <t xml:space="preserve">PERSONAL INCOME</t>
  </si>
  <si>
    <t xml:space="preserve">Current OTE (W-2 salary + commission)</t>
  </si>
  <si>
    <t xml:space="preserve">Russell's current comp</t>
  </si>
  <si>
    <t xml:space="preserve">Annual raise assumption</t>
  </si>
  <si>
    <t xml:space="preserve">Conservative 3% annual</t>
  </si>
  <si>
    <t xml:space="preserve">Estimated effective tax rate</t>
  </si>
  <si>
    <t xml:space="preserve">Federal + VA state + FICA on W-2</t>
  </si>
  <si>
    <t xml:space="preserve">BUSINESS — PHASE 1 (2 BAYS)</t>
  </si>
  <si>
    <t xml:space="preserve">Number of bays (Phase 1)</t>
  </si>
  <si>
    <t xml:space="preserve">Starting configuration</t>
  </si>
  <si>
    <t xml:space="preserve">Operating hours per day</t>
  </si>
  <si>
    <t xml:space="preserve">10am–10pm</t>
  </si>
  <si>
    <t xml:space="preserve">Days open per year</t>
  </si>
  <si>
    <t xml:space="preserve">5 days closed/maintenance</t>
  </si>
  <si>
    <t xml:space="preserve">Hourly rate (blended avg)</t>
  </si>
  <si>
    <t xml:space="preserve">Mix: walk-in $65, member $40, off-peak $45</t>
  </si>
  <si>
    <t xml:space="preserve">Year 1 avg utilization</t>
  </si>
  <si>
    <t xml:space="preserve">Ramp from 20% to 50% over 12 months</t>
  </si>
  <si>
    <t xml:space="preserve">Year 2 avg utilization</t>
  </si>
  <si>
    <t xml:space="preserve">Steady state, mature 2-bay operation</t>
  </si>
  <si>
    <t xml:space="preserve">Year 3+ avg utilization (orig bays)</t>
  </si>
  <si>
    <t xml:space="preserve">Slight growth from reputation</t>
  </si>
  <si>
    <t xml:space="preserve">ANCILLARY REVENUE (as % of bay revenue)</t>
  </si>
  <si>
    <t xml:space="preserve">Memberships / AI coaching premium</t>
  </si>
  <si>
    <t xml:space="preserve">Recurring revenue above bay hours</t>
  </si>
  <si>
    <t xml:space="preserve">Beverage / bar revenue</t>
  </si>
  <si>
    <t xml:space="preserve">ABC license + Bunny Man partnership</t>
  </si>
  <si>
    <t xml:space="preserve">Events / corporate / merch / leagues</t>
  </si>
  <si>
    <t xml:space="preserve">Corporate nights, tournaments</t>
  </si>
  <si>
    <t xml:space="preserve">MONTHLY OPERATING COSTS</t>
  </si>
  <si>
    <t xml:space="preserve">Rent to Workhouse</t>
  </si>
  <si>
    <t xml:space="preserve">Negotiate; could be $3K-$4.5K</t>
  </si>
  <si>
    <t xml:space="preserve">Part-time staff (2 employees)</t>
  </si>
  <si>
    <t xml:space="preserve">2×25hrs/wk×$18/hr + 15% burden</t>
  </si>
  <si>
    <t xml:space="preserve">Utilities (electric, HVAC, internet)</t>
  </si>
  <si>
    <t xml:space="preserve">Sims draw power; good HVAC needed</t>
  </si>
  <si>
    <t xml:space="preserve">Insurance (GL + property)</t>
  </si>
  <si>
    <t xml:space="preserve">Commercial policy</t>
  </si>
  <si>
    <t xml:space="preserve">Software / sim subscriptions</t>
  </si>
  <si>
    <t xml:space="preserve">Trackman/FullSwing subs, Salesforce</t>
  </si>
  <si>
    <t xml:space="preserve">Marketing / digital ads</t>
  </si>
  <si>
    <t xml:space="preserve">Google, social, local sponsorships</t>
  </si>
  <si>
    <t xml:space="preserve">Supplies / maintenance / misc</t>
  </si>
  <si>
    <t xml:space="preserve">Balls, tees, cleaning, bulbs</t>
  </si>
  <si>
    <t xml:space="preserve">ABC license (amortized monthly)</t>
  </si>
  <si>
    <t xml:space="preserve">~$2,400 one-time / 12 months</t>
  </si>
  <si>
    <t xml:space="preserve">FINANCING</t>
  </si>
  <si>
    <t xml:space="preserve">Total startup capital needed</t>
  </si>
  <si>
    <t xml:space="preserve">Phase 1 value-engineered budget</t>
  </si>
  <si>
    <t xml:space="preserve">Owner equity (personal investment)</t>
  </si>
  <si>
    <t xml:space="preserve">Cash from savings</t>
  </si>
  <si>
    <t xml:space="preserve">Loan amount (SBA or bank)</t>
  </si>
  <si>
    <t xml:space="preserve">Financed portion</t>
  </si>
  <si>
    <t xml:space="preserve">Loan interest rate (annual)</t>
  </si>
  <si>
    <t xml:space="preserve">SBA 7(a) typical rate</t>
  </si>
  <si>
    <t xml:space="preserve">Loan term (years)</t>
  </si>
  <si>
    <t xml:space="preserve">60-month term</t>
  </si>
  <si>
    <t xml:space="preserve">PHASE 2 EXPANSION (begins Year 3)</t>
  </si>
  <si>
    <t xml:space="preserve">Additional bays</t>
  </si>
  <si>
    <t xml:space="preserve">Expand from 2 → 4 total</t>
  </si>
  <si>
    <t xml:space="preserve">Phase 2 capital required</t>
  </si>
  <si>
    <t xml:space="preserve">Sims + bay buildout only</t>
  </si>
  <si>
    <t xml:space="preserve">Phase 2 loan amount</t>
  </si>
  <si>
    <t xml:space="preserve">Finance 100% from cash flow or loan</t>
  </si>
  <si>
    <t xml:space="preserve">Phase 2 new bays Year 1 utilization</t>
  </si>
  <si>
    <t xml:space="preserve">Ramp faster (brand established)</t>
  </si>
  <si>
    <t xml:space="preserve">Phase 2 new bays steady state util</t>
  </si>
  <si>
    <t xml:space="preserve">Match original bays</t>
  </si>
  <si>
    <t xml:space="preserve">Phase 2 incremental monthly costs</t>
  </si>
  <si>
    <t xml:space="preserve">Extra power, sim subs, add'l staff hrs</t>
  </si>
  <si>
    <t xml:space="preserve">5-YEAR HOUSEHOLD INCOME PROJECTION</t>
  </si>
  <si>
    <t xml:space="preserve">Keep day job + Fairway as side business → evaluate full-time at Phase 2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</si>
  <si>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</si>
  <si>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</si>
  <si>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</si>
  <si>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</si>
  <si>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</si>
  <si>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YOUR W-2 INCOME</t>
  </si>
  <si>
    <t xml:space="preserve">Day job OTE (pre-tax)</t>
  </si>
  <si>
    <t xml:space="preserve">Day job after-tax take-home</t>
  </si>
  <si>
    <t xml:space="preserve">FAIRWAY GOLF CLUB</t>
  </si>
  <si>
    <t xml:space="preserve">Operating bays</t>
  </si>
  <si>
    <t xml:space="preserve">Avg utilization (blended)</t>
  </si>
  <si>
    <t xml:space="preserve">Bay rental revenue</t>
  </si>
  <si>
    <t xml:space="preserve">Ancillary revenue (members, bar, events)</t>
  </si>
  <si>
    <t xml:space="preserve">Total Fairway Revenue</t>
  </si>
  <si>
    <t xml:space="preserve">Operating costs (annual)</t>
  </si>
  <si>
    <t xml:space="preserve">Loan payments (annual P&amp;I)</t>
  </si>
  <si>
    <t xml:space="preserve">Total Fairway Costs</t>
  </si>
  <si>
    <t xml:space="preserve">FAIRWAY NET PROFIT (pre-tax)</t>
  </si>
  <si>
    <t xml:space="preserve">  → Monthly average</t>
  </si>
  <si>
    <t xml:space="preserve">COMBINED HOUSEHOLD</t>
  </si>
  <si>
    <t xml:space="preserve">Day Job + Fairway (pre-tax total)</t>
  </si>
  <si>
    <t xml:space="preserve">Surplus vs. day job alone</t>
  </si>
  <si>
    <t xml:space="preserve">IF RUSSELL QUITS: Fairway-only income</t>
  </si>
  <si>
    <t xml:space="preserve">  → Gap vs. current $227K OTE</t>
  </si>
  <si>
    <t xml:space="preserve">  → Ready to quit day job?</t>
  </si>
  <si>
    <t xml:space="preserve">WEALTH BUILDING</t>
  </si>
  <si>
    <t xml:space="preserve">Cumulative Fairway net profit</t>
  </si>
  <si>
    <t xml:space="preserve">Personal equity ($75K) recovered?</t>
  </si>
  <si>
    <t xml:space="preserve">Est. business value (3× annual profit)</t>
  </si>
  <si>
    <t xml:space="preserve">Total new wealth created (cumulative + value)</t>
  </si>
  <si>
    <t xml:space="preserve">YEAR 1 MONTHLY — The Realistic Ramp</t>
  </si>
  <si>
    <t xml:space="preserve">Day job continues. Fairway ramps from soft-open to steady state.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</si>
  <si>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</si>
  <si>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</si>
  <si>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</si>
  <si>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</si>
  <si>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</si>
  <si>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</si>
  <si>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</si>
  <si>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</si>
  <si>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</si>
  <si>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</si>
  <si>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11</t>
  </si>
  <si>
    <t xml:space="preserve">Mo 12</t>
  </si>
  <si>
    <t xml:space="preserve">TOTAL</t>
  </si>
  <si>
    <t xml:space="preserve">INCOME (Day Job)</t>
  </si>
  <si>
    <t xml:space="preserve">W-2 monthly (pre-tax)</t>
  </si>
  <si>
    <t xml:space="preserve">W-2 after-tax take-home</t>
  </si>
  <si>
    <t xml:space="preserve">FAIRWAY REVENUE</t>
  </si>
  <si>
    <t xml:space="preserve">Bay utilization</t>
  </si>
  <si>
    <t xml:space="preserve">Ancillary revenue</t>
  </si>
  <si>
    <t xml:space="preserve">Total Fairway monthly revenue</t>
  </si>
  <si>
    <t xml:space="preserve">FAIRWAY COSTS</t>
  </si>
  <si>
    <t xml:space="preserve">Operating costs</t>
  </si>
  <si>
    <t xml:space="preserve">Loan payment (monthly)</t>
  </si>
  <si>
    <t xml:space="preserve">Total Fairway costs</t>
  </si>
  <si>
    <t xml:space="preserve">FAIRWAY MONTHLY NET PROFIT</t>
  </si>
  <si>
    <t xml:space="preserve">HOUSEHOLD MONTHLY CASH</t>
  </si>
  <si>
    <t xml:space="preserve">Day job take-home</t>
  </si>
  <si>
    <t xml:space="preserve">Fairway net contribution</t>
  </si>
  <si>
    <t xml:space="preserve">Total household monthly cash</t>
  </si>
  <si>
    <t xml:space="preserve">SAFETY NET</t>
  </si>
  <si>
    <t xml:space="preserve">If Fairway makes $0 this month, you still have:</t>
  </si>
  <si>
    <t xml:space="preserve">FAIRWAY GOLF CLUB — The Case for Our Family</t>
  </si>
  <si>
    <t xml:space="preserve">Bottom line: We keep our income. This adds to it. Here's how.</t>
  </si>
  <si>
    <t xml:space="preserve">THE PLAN</t>
  </si>
  <si>
    <t xml:space="preserve">Russell keeps his $227K/yr day job — no income change</t>
  </si>
  <si>
    <t xml:space="preserve">2 part-time staff run Fairway during the day ($18/hr)</t>
  </si>
  <si>
    <t xml:space="preserve">Russell closes up evenings (~9-10pm) — lives 1 mile away</t>
  </si>
  <si>
    <t xml:space="preserve">Household income stays the same. Fairway profit is ADDITIVE.</t>
  </si>
  <si>
    <t xml:space="preserve">WHAT WE RISK</t>
  </si>
  <si>
    <t xml:space="preserve">Personal cash invested:</t>
  </si>
  <si>
    <t xml:space="preserve">Monthly loan payment:</t>
  </si>
  <si>
    <t xml:space="preserve">Russell's evenings for close-up (~1 hr/night)</t>
  </si>
  <si>
    <t xml:space="preserve">If entire business fails, total loss = equity invested (like a car)</t>
  </si>
  <si>
    <t xml:space="preserve">WHAT WE GAIN EACH YEAR (added to household)</t>
  </si>
  <si>
    <t xml:space="preserve">Year 1 — Fairway adds to household:</t>
  </si>
  <si>
    <t xml:space="preserve">Year 2 — Fairway adds:</t>
  </si>
  <si>
    <t xml:space="preserve">Year 3 — Expand to 4 bays, adds:</t>
  </si>
  <si>
    <t xml:space="preserve">Year 4 — Steady 4-bay operation, adds:</t>
  </si>
  <si>
    <t xml:space="preserve">Year 5 — Mature operation, adds:</t>
  </si>
  <si>
    <t xml:space="preserve">YEAR 5 TOTAL HOUSEHOLD INCOME:</t>
  </si>
  <si>
    <t xml:space="preserve">vs. Day Job alone in Year 5:</t>
  </si>
  <si>
    <t xml:space="preserve">THE SAFETY NET</t>
  </si>
  <si>
    <t xml:space="preserve">If Fairway earns $0, household still earns:</t>
  </si>
  <si>
    <t xml:space="preserve">Worst case total loss (personal equity):</t>
  </si>
  <si>
    <t xml:space="preserve">That's less than one new car. And we own the equipment as assets.</t>
  </si>
  <si>
    <t xml:space="preserve">THE UPSIDE (Year 5)</t>
  </si>
  <si>
    <t xml:space="preserve">Business estimated value (sellable):</t>
  </si>
  <si>
    <t xml:space="preserve">Cumulative profits earned:</t>
  </si>
  <si>
    <t xml:space="preserve">Total new household wealth created:</t>
  </si>
  <si>
    <t xml:space="preserve">WHEN COULD RUSSELL QUIT?</t>
  </si>
  <si>
    <t xml:space="preserve">Fairway alone covers $227K: Year 4-5 (4 bays at 55%)</t>
  </si>
  <si>
    <t xml:space="preserve">Recommended: keep day job through Year 2, evaluate at expansion</t>
  </si>
  <si>
    <t xml:space="preserve">Best case: quit Year 3 if utilization consistently &gt;55%</t>
  </si>
  <si>
    <t xml:space="preserve">No pressure — the business works AS A SIDE INCOME indefinitely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</si>
</sst>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.0%"/>
    <numFmt numFmtId="167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D2137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0D2137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A6041"/>
      <name val="Arial"/>
      <family val="0"/>
      <charset val="1"/>
    </font>
    <font>
      <sz val="10"/>
      <color rgb="FFCC0000"/>
      <name val="Arial"/>
      <family val="0"/>
      <charset val="1"/>
    </font>
    <font>
      <b val="true"/>
      <sz val="11"/>
      <color rgb="FF8B6914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1"/>
      <color rgb="FF2A604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BF4EE"/>
        <bgColor rgb="FFFDF6E8"/>
      </patternFill>
    </fill>
    <fill>
      <patternFill patternType="solid">
        <fgColor rgb="FF0D2137"/>
        <bgColor rgb="FF003300"/>
      </patternFill>
    </fill>
    <fill>
      <patternFill patternType="solid">
        <fgColor rgb="FFFDF6E8"/>
        <bgColor rgb="FFEBF4E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6914"/>
      <rgbColor rgb="FF800080"/>
      <rgbColor rgb="FF008080"/>
      <rgbColor rgb="FFC0C0C0"/>
      <rgbColor rgb="FF808080"/>
      <rgbColor rgb="FF9999FF"/>
      <rgbColor rgb="FF993366"/>
      <rgbColor rgb="FFFDF6E8"/>
      <rgbColor rgb="FFEBF4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D2137"/>
      <rgbColor rgb="FF339966"/>
      <rgbColor rgb="FF003300"/>
      <rgbColor rgb="FF333300"/>
      <rgbColor rgb="FF993300"/>
      <rgbColor rgb="FF993366"/>
      <rgbColor rgb="FF333399"/>
      <rgbColor rgb="FF2A60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35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/>
      <c r="D5" s="4"/>
    </row>
    <row r="6" customFormat="false" ht="15" hidden="false" customHeight="false" outlineLevel="0" collapsed="false">
      <c r="B6" s="5" t="s">
        <v>3</v>
      </c>
      <c r="C6" s="6" t="n">
        <v>227000</v>
      </c>
      <c r="D6" s="2" t="s">
        <v>4</v>
      </c>
    </row>
    <row r="7" customFormat="false" ht="15" hidden="false" customHeight="false" outlineLevel="0" collapsed="false">
      <c r="B7" s="5" t="s">
        <v>5</v>
      </c>
      <c r="C7" s="7" t="n">
        <v>0.03</v>
      </c>
      <c r="D7" s="2" t="s">
        <v>6</v>
      </c>
    </row>
    <row r="8" customFormat="false" ht="15" hidden="false" customHeight="false" outlineLevel="0" collapsed="false">
      <c r="B8" s="5" t="s">
        <v>7</v>
      </c>
      <c r="C8" s="7" t="n">
        <v>0.38</v>
      </c>
      <c r="D8" s="2" t="s">
        <v>8</v>
      </c>
    </row>
    <row r="10" customFormat="false" ht="15" hidden="false" customHeight="false" outlineLevel="0" collapsed="false">
      <c r="B10" s="3" t="s">
        <v>9</v>
      </c>
      <c r="C10" s="4"/>
      <c r="D10" s="4"/>
    </row>
    <row r="11" customFormat="false" ht="15" hidden="false" customHeight="false" outlineLevel="0" collapsed="false">
      <c r="B11" s="5" t="s">
        <v>10</v>
      </c>
      <c r="C11" s="8" t="n">
        <v>2</v>
      </c>
      <c r="D11" s="2" t="s">
        <v>11</v>
      </c>
    </row>
    <row r="12" customFormat="false" ht="15" hidden="false" customHeight="false" outlineLevel="0" collapsed="false">
      <c r="B12" s="5" t="s">
        <v>12</v>
      </c>
      <c r="C12" s="8" t="n">
        <v>12</v>
      </c>
      <c r="D12" s="2" t="s">
        <v>13</v>
      </c>
    </row>
    <row r="13" customFormat="false" ht="15" hidden="false" customHeight="false" outlineLevel="0" collapsed="false">
      <c r="B13" s="5" t="s">
        <v>14</v>
      </c>
      <c r="C13" s="8" t="n">
        <v>360</v>
      </c>
      <c r="D13" s="2" t="s">
        <v>15</v>
      </c>
    </row>
    <row r="14" customFormat="false" ht="15" hidden="false" customHeight="false" outlineLevel="0" collapsed="false">
      <c r="B14" s="5" t="s">
        <v>16</v>
      </c>
      <c r="C14" s="6" t="n">
        <v>55</v>
      </c>
      <c r="D14" s="2" t="s">
        <v>17</v>
      </c>
    </row>
    <row r="15" customFormat="false" ht="15" hidden="false" customHeight="false" outlineLevel="0" collapsed="false">
      <c r="B15" s="5" t="s">
        <v>18</v>
      </c>
      <c r="C15" s="7" t="n">
        <v>0.35</v>
      </c>
      <c r="D15" s="2" t="s">
        <v>19</v>
      </c>
    </row>
    <row r="16" customFormat="false" ht="15" hidden="false" customHeight="false" outlineLevel="0" collapsed="false">
      <c r="B16" s="5" t="s">
        <v>20</v>
      </c>
      <c r="C16" s="7" t="n">
        <v>0.5</v>
      </c>
      <c r="D16" s="2" t="s">
        <v>21</v>
      </c>
    </row>
    <row r="17" customFormat="false" ht="15" hidden="false" customHeight="false" outlineLevel="0" collapsed="false">
      <c r="B17" s="5" t="s">
        <v>22</v>
      </c>
      <c r="C17" s="7" t="n">
        <v>0.55</v>
      </c>
      <c r="D17" s="2" t="s">
        <v>23</v>
      </c>
    </row>
    <row r="19" customFormat="false" ht="15" hidden="false" customHeight="false" outlineLevel="0" collapsed="false">
      <c r="B19" s="5" t="s">
        <v>24</v>
      </c>
    </row>
    <row r="20" customFormat="false" ht="15" hidden="false" customHeight="false" outlineLevel="0" collapsed="false">
      <c r="B20" s="5" t="s">
        <v>25</v>
      </c>
      <c r="C20" s="7" t="n">
        <v>0.12</v>
      </c>
      <c r="D20" s="2" t="s">
        <v>26</v>
      </c>
    </row>
    <row r="21" customFormat="false" ht="15" hidden="false" customHeight="false" outlineLevel="0" collapsed="false">
      <c r="B21" s="5" t="s">
        <v>27</v>
      </c>
      <c r="C21" s="7" t="n">
        <v>0.08</v>
      </c>
      <c r="D21" s="2" t="s">
        <v>28</v>
      </c>
    </row>
    <row r="22" customFormat="false" ht="15" hidden="false" customHeight="false" outlineLevel="0" collapsed="false">
      <c r="B22" s="5" t="s">
        <v>29</v>
      </c>
      <c r="C22" s="7" t="n">
        <v>0.05</v>
      </c>
      <c r="D22" s="2" t="s">
        <v>30</v>
      </c>
    </row>
    <row r="24" customFormat="false" ht="15" hidden="false" customHeight="false" outlineLevel="0" collapsed="false">
      <c r="B24" s="3" t="s">
        <v>31</v>
      </c>
      <c r="C24" s="4"/>
      <c r="D24" s="4"/>
    </row>
    <row r="25" customFormat="false" ht="15" hidden="false" customHeight="false" outlineLevel="0" collapsed="false">
      <c r="B25" s="5" t="s">
        <v>32</v>
      </c>
      <c r="C25" s="6" t="n">
        <v>3500</v>
      </c>
      <c r="D25" s="2" t="s">
        <v>33</v>
      </c>
    </row>
    <row r="26" customFormat="false" ht="15" hidden="false" customHeight="false" outlineLevel="0" collapsed="false">
      <c r="B26" s="5" t="s">
        <v>34</v>
      </c>
      <c r="C26" s="6" t="n">
        <v>4800</v>
      </c>
      <c r="D26" s="2" t="s">
        <v>35</v>
      </c>
    </row>
    <row r="27" customFormat="false" ht="15" hidden="false" customHeight="false" outlineLevel="0" collapsed="false">
      <c r="B27" s="5" t="s">
        <v>36</v>
      </c>
      <c r="C27" s="6" t="n">
        <v>1200</v>
      </c>
      <c r="D27" s="2" t="s">
        <v>37</v>
      </c>
    </row>
    <row r="28" customFormat="false" ht="15" hidden="false" customHeight="false" outlineLevel="0" collapsed="false">
      <c r="B28" s="5" t="s">
        <v>38</v>
      </c>
      <c r="C28" s="6" t="n">
        <v>500</v>
      </c>
      <c r="D28" s="2" t="s">
        <v>39</v>
      </c>
    </row>
    <row r="29" customFormat="false" ht="15" hidden="false" customHeight="false" outlineLevel="0" collapsed="false">
      <c r="B29" s="5" t="s">
        <v>40</v>
      </c>
      <c r="C29" s="6" t="n">
        <v>600</v>
      </c>
      <c r="D29" s="2" t="s">
        <v>41</v>
      </c>
    </row>
    <row r="30" customFormat="false" ht="15" hidden="false" customHeight="false" outlineLevel="0" collapsed="false">
      <c r="B30" s="5" t="s">
        <v>42</v>
      </c>
      <c r="C30" s="6" t="n">
        <v>800</v>
      </c>
      <c r="D30" s="2" t="s">
        <v>43</v>
      </c>
    </row>
    <row r="31" customFormat="false" ht="15" hidden="false" customHeight="false" outlineLevel="0" collapsed="false">
      <c r="B31" s="5" t="s">
        <v>44</v>
      </c>
      <c r="C31" s="6" t="n">
        <v>500</v>
      </c>
      <c r="D31" s="2" t="s">
        <v>45</v>
      </c>
    </row>
    <row r="32" customFormat="false" ht="15" hidden="false" customHeight="false" outlineLevel="0" collapsed="false">
      <c r="B32" s="5" t="s">
        <v>46</v>
      </c>
      <c r="C32" s="6" t="n">
        <v>200</v>
      </c>
      <c r="D32" s="2" t="s">
        <v>47</v>
      </c>
    </row>
    <row r="34" customFormat="false" ht="15" hidden="false" customHeight="false" outlineLevel="0" collapsed="false">
      <c r="B34" s="3" t="s">
        <v>48</v>
      </c>
      <c r="C34" s="4"/>
      <c r="D34" s="4"/>
    </row>
    <row r="35" customFormat="false" ht="15" hidden="false" customHeight="false" outlineLevel="0" collapsed="false">
      <c r="B35" s="5" t="s">
        <v>49</v>
      </c>
      <c r="C35" s="6" t="n">
        <v>150000</v>
      </c>
      <c r="D35" s="2" t="s">
        <v>50</v>
      </c>
    </row>
    <row r="36" customFormat="false" ht="15" hidden="false" customHeight="false" outlineLevel="0" collapsed="false">
      <c r="B36" s="5" t="s">
        <v>51</v>
      </c>
      <c r="C36" s="6" t="n">
        <v>75000</v>
      </c>
      <c r="D36" s="2" t="s">
        <v>52</v>
      </c>
    </row>
    <row r="37" customFormat="false" ht="15" hidden="false" customHeight="false" outlineLevel="0" collapsed="false">
      <c r="B37" s="5" t="s">
        <v>53</v>
      </c>
      <c r="C37" s="6" t="n">
        <v>75000</v>
      </c>
      <c r="D37" s="2" t="s">
        <v>54</v>
      </c>
    </row>
    <row r="38" customFormat="false" ht="15" hidden="false" customHeight="false" outlineLevel="0" collapsed="false">
      <c r="B38" s="5" t="s">
        <v>55</v>
      </c>
      <c r="C38" s="7" t="n">
        <v>0.08</v>
      </c>
      <c r="D38" s="2" t="s">
        <v>56</v>
      </c>
    </row>
    <row r="39" customFormat="false" ht="15" hidden="false" customHeight="false" outlineLevel="0" collapsed="false">
      <c r="B39" s="5" t="s">
        <v>57</v>
      </c>
      <c r="C39" s="8" t="n">
        <v>5</v>
      </c>
      <c r="D39" s="2" t="s">
        <v>58</v>
      </c>
    </row>
    <row r="41" customFormat="false" ht="15" hidden="false" customHeight="false" outlineLevel="0" collapsed="false">
      <c r="B41" s="5" t="s">
        <v>59</v>
      </c>
    </row>
    <row r="42" customFormat="false" ht="15" hidden="false" customHeight="false" outlineLevel="0" collapsed="false">
      <c r="B42" s="5" t="s">
        <v>60</v>
      </c>
      <c r="C42" s="8" t="n">
        <v>2</v>
      </c>
      <c r="D42" s="2" t="s">
        <v>61</v>
      </c>
    </row>
    <row r="43" customFormat="false" ht="15" hidden="false" customHeight="false" outlineLevel="0" collapsed="false">
      <c r="B43" s="5" t="s">
        <v>62</v>
      </c>
      <c r="C43" s="6" t="n">
        <v>70000</v>
      </c>
      <c r="D43" s="2" t="s">
        <v>63</v>
      </c>
    </row>
    <row r="44" customFormat="false" ht="15" hidden="false" customHeight="false" outlineLevel="0" collapsed="false">
      <c r="B44" s="5" t="s">
        <v>64</v>
      </c>
      <c r="C44" s="6" t="n">
        <v>70000</v>
      </c>
      <c r="D44" s="2" t="s">
        <v>65</v>
      </c>
    </row>
    <row r="45" customFormat="false" ht="15" hidden="false" customHeight="false" outlineLevel="0" collapsed="false">
      <c r="B45" s="5" t="s">
        <v>66</v>
      </c>
      <c r="C45" s="7" t="n">
        <v>0.4</v>
      </c>
      <c r="D45" s="2" t="s">
        <v>67</v>
      </c>
    </row>
    <row r="46" customFormat="false" ht="15" hidden="false" customHeight="false" outlineLevel="0" collapsed="false">
      <c r="B46" s="5" t="s">
        <v>68</v>
      </c>
      <c r="C46" s="7" t="n">
        <v>0.55</v>
      </c>
      <c r="D46" s="2" t="s">
        <v>69</v>
      </c>
    </row>
    <row r="47" customFormat="false" ht="15" hidden="false" customHeight="false" outlineLevel="0" collapsed="false">
      <c r="B47" s="5" t="s">
        <v>70</v>
      </c>
      <c r="C47" s="6" t="n">
        <v>1800</v>
      </c>
      <c r="D47" s="2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7" min="3" style="0" width="16"/>
  </cols>
  <sheetData>
    <row r="2" customFormat="false" ht="17.35" hidden="false" customHeight="false" outlineLevel="0" collapsed="false">
      <c r="B2" s="1" t="s">
        <v>72</v>
      </c>
    </row>
    <row r="3" customFormat="false" ht="15" hidden="false" customHeight="false" outlineLevel="0" collapsed="false">
      <c r="B3" s="2" t="s">
        <v>73</v>
      </c>
    </row>
    <row r="5" customFormat="false" ht="15" hidden="false" customHeight="false" outlineLevel="0" collapsed="false">
      <c r="B5" s="9"/>
      <c r="C5" s="9" t="s">
        <v>74</v>
      </c>
      <c r="D5" s="9" t="s">
        <v>75</v>
      </c>
      <c r="E5" s="9" t="s">
        <v>76</v>
      </c>
      <c r="F5" s="9" t="s">
        <v>77</v>
      </c>
      <c r="G5" s="9" t="s">
        <v>78</v>
      </c>
    </row>
    <row r="6" customFormat="false" ht="15" hidden="false" customHeight="false" outlineLevel="0" collapsed="false">
      <c r="B6" s="3" t="s">
        <v>79</v>
      </c>
      <c r="C6" s="4"/>
      <c r="D6" s="4"/>
      <c r="E6" s="4"/>
      <c r="F6" s="4"/>
      <c r="G6" s="4"/>
    </row>
    <row r="7" customFormat="false" ht="15" hidden="false" customHeight="false" outlineLevel="0" collapsed="false">
      <c r="B7" s="5" t="s">
        <v>80</v>
      </c>
      <c r="C7" s="6" t="n">
        <f aca="false">Assumptions!C6*(1+Assumptions!C7)^0</f>
        <v>227000</v>
      </c>
      <c r="D7" s="6" t="n">
        <f aca="false">Assumptions!C6*(1+Assumptions!C7)^1</f>
        <v>233810</v>
      </c>
      <c r="E7" s="6" t="n">
        <f aca="false">Assumptions!C6*(1+Assumptions!C7)^2</f>
        <v>240824.3</v>
      </c>
      <c r="F7" s="6" t="n">
        <f aca="false">Assumptions!C6*(1+Assumptions!C7)^3</f>
        <v>248049.029</v>
      </c>
      <c r="G7" s="6" t="n">
        <f aca="false">Assumptions!C6*(1+Assumptions!C7)^4</f>
        <v>255490.49987</v>
      </c>
    </row>
    <row r="8" customFormat="false" ht="15" hidden="false" customHeight="false" outlineLevel="0" collapsed="false">
      <c r="B8" s="5" t="s">
        <v>81</v>
      </c>
      <c r="C8" s="10" t="n">
        <f aca="false">C7*(1-Assumptions!C8)</f>
        <v>140740</v>
      </c>
      <c r="D8" s="10" t="n">
        <f aca="false">D7*(1-Assumptions!C8)</f>
        <v>144962.2</v>
      </c>
      <c r="E8" s="10" t="n">
        <f aca="false">E7*(1-Assumptions!C8)</f>
        <v>149311.066</v>
      </c>
      <c r="F8" s="10" t="n">
        <f aca="false">F7*(1-Assumptions!C8)</f>
        <v>153790.39798</v>
      </c>
      <c r="G8" s="10" t="n">
        <f aca="false">G7*(1-Assumptions!C8)</f>
        <v>158404.1099194</v>
      </c>
    </row>
    <row r="10" customFormat="false" ht="15" hidden="false" customHeight="false" outlineLevel="0" collapsed="false">
      <c r="B10" s="3" t="s">
        <v>82</v>
      </c>
      <c r="C10" s="4"/>
      <c r="D10" s="4"/>
      <c r="E10" s="4"/>
      <c r="F10" s="4"/>
      <c r="G10" s="4"/>
    </row>
    <row r="11" customFormat="false" ht="15" hidden="false" customHeight="false" outlineLevel="0" collapsed="false">
      <c r="B11" s="5" t="s">
        <v>83</v>
      </c>
      <c r="C11" s="11" t="n">
        <f aca="false">Assumptions!C11</f>
        <v>2</v>
      </c>
      <c r="D11" s="11" t="n">
        <f aca="false">Assumptions!C11</f>
        <v>2</v>
      </c>
      <c r="E11" s="11" t="n">
        <f aca="false">Assumptions!C11+Assumptions!C42</f>
        <v>4</v>
      </c>
      <c r="F11" s="11" t="n">
        <f aca="false">Assumptions!C11+Assumptions!C42</f>
        <v>4</v>
      </c>
      <c r="G11" s="11" t="n">
        <f aca="false">Assumptions!C11+Assumptions!C42</f>
        <v>4</v>
      </c>
    </row>
    <row r="12" customFormat="false" ht="15" hidden="false" customHeight="false" outlineLevel="0" collapsed="false">
      <c r="B12" s="5" t="s">
        <v>84</v>
      </c>
      <c r="C12" s="12" t="n">
        <f aca="false">Assumptions!C15</f>
        <v>0.35</v>
      </c>
      <c r="D12" s="12" t="n">
        <f aca="false">Assumptions!C16</f>
        <v>0.5</v>
      </c>
      <c r="E12" s="12" t="n">
        <f aca="false">(Assumptions!C11*Assumptions!C17+Assumptions!C42*Assumptions!C45)/(Assumptions!C11+Assumptions!C42)</f>
        <v>0.475</v>
      </c>
      <c r="F12" s="12" t="n">
        <f aca="false">(Assumptions!C11*Assumptions!C17+Assumptions!C42*Assumptions!C46)/(Assumptions!C11+Assumptions!C42)</f>
        <v>0.55</v>
      </c>
      <c r="G12" s="12" t="n">
        <f aca="false">Assumptions!C46</f>
        <v>0.55</v>
      </c>
    </row>
    <row r="13" customFormat="false" ht="15" hidden="false" customHeight="false" outlineLevel="0" collapsed="false">
      <c r="B13" s="5" t="s">
        <v>85</v>
      </c>
      <c r="C13" s="10" t="n">
        <f aca="false">C11*Assumptions!C12*Assumptions!C13*Assumptions!C14*C12</f>
        <v>166320</v>
      </c>
      <c r="D13" s="10" t="n">
        <f aca="false">D11*Assumptions!C12*Assumptions!C13*Assumptions!C14*D12</f>
        <v>237600</v>
      </c>
      <c r="E13" s="10" t="n">
        <f aca="false">E11*Assumptions!C12*Assumptions!C13*Assumptions!C14*E12</f>
        <v>451440</v>
      </c>
      <c r="F13" s="10" t="n">
        <f aca="false">F11*Assumptions!C12*Assumptions!C13*Assumptions!C14*F12</f>
        <v>522720</v>
      </c>
      <c r="G13" s="10" t="n">
        <f aca="false">G11*Assumptions!C12*Assumptions!C13*Assumptions!C14*G12</f>
        <v>522720</v>
      </c>
    </row>
    <row r="14" customFormat="false" ht="15" hidden="false" customHeight="false" outlineLevel="0" collapsed="false">
      <c r="B14" s="5" t="s">
        <v>86</v>
      </c>
      <c r="C14" s="10" t="n">
        <f aca="false">C13*(Assumptions!C20+Assumptions!C21+Assumptions!C22)</f>
        <v>41580</v>
      </c>
      <c r="D14" s="10" t="n">
        <f aca="false">D13*(Assumptions!C20+Assumptions!C21+Assumptions!C22)</f>
        <v>59400</v>
      </c>
      <c r="E14" s="10" t="n">
        <f aca="false">E13*(Assumptions!C20+Assumptions!C21+Assumptions!C22)</f>
        <v>112860</v>
      </c>
      <c r="F14" s="10" t="n">
        <f aca="false">F13*(Assumptions!C20+Assumptions!C21+Assumptions!C22)</f>
        <v>130680</v>
      </c>
      <c r="G14" s="10" t="n">
        <f aca="false">G13*(Assumptions!C20+Assumptions!C21+Assumptions!C22)</f>
        <v>130680</v>
      </c>
    </row>
    <row r="15" customFormat="false" ht="15" hidden="false" customHeight="false" outlineLevel="0" collapsed="false">
      <c r="B15" s="13" t="s">
        <v>87</v>
      </c>
      <c r="C15" s="14" t="n">
        <f aca="false">C13+C14</f>
        <v>207900</v>
      </c>
      <c r="D15" s="14" t="n">
        <f aca="false">D13+D14</f>
        <v>297000</v>
      </c>
      <c r="E15" s="14" t="n">
        <f aca="false">E13+E14</f>
        <v>564300</v>
      </c>
      <c r="F15" s="14" t="n">
        <f aca="false">F13+F14</f>
        <v>653400</v>
      </c>
      <c r="G15" s="14" t="n">
        <f aca="false">G13+G14</f>
        <v>653400</v>
      </c>
    </row>
    <row r="17" customFormat="false" ht="15" hidden="false" customHeight="false" outlineLevel="0" collapsed="false">
      <c r="B17" s="5" t="s">
        <v>88</v>
      </c>
      <c r="C17" s="10" t="n">
        <f aca="false">(Assumptions!C25+Assumptions!C26+Assumptions!C27+Assumptions!C28+Assumptions!C29+Assumptions!C30+Assumptions!C31+Assumptions!C32)*12</f>
        <v>145200</v>
      </c>
      <c r="D17" s="10" t="n">
        <f aca="false">(Assumptions!C25+Assumptions!C26+Assumptions!C27+Assumptions!C28+Assumptions!C29+Assumptions!C30+Assumptions!C31+Assumptions!C32)*12</f>
        <v>145200</v>
      </c>
      <c r="E17" s="10" t="n">
        <f aca="false">((Assumptions!C25+Assumptions!C26+Assumptions!C27+Assumptions!C28+Assumptions!C29+Assumptions!C30+Assumptions!C31+Assumptions!C32)+Assumptions!C47)*12</f>
        <v>166800</v>
      </c>
      <c r="F17" s="10" t="n">
        <f aca="false">((Assumptions!C25+Assumptions!C26+Assumptions!C27+Assumptions!C28+Assumptions!C29+Assumptions!C30+Assumptions!C31+Assumptions!C32)+Assumptions!C47)*12</f>
        <v>166800</v>
      </c>
      <c r="G17" s="10" t="n">
        <f aca="false">((Assumptions!C25+Assumptions!C26+Assumptions!C27+Assumptions!C28+Assumptions!C29+Assumptions!C30+Assumptions!C31+Assumptions!C32)+Assumptions!C47)*12</f>
        <v>166800</v>
      </c>
    </row>
    <row r="18" customFormat="false" ht="15" hidden="false" customHeight="false" outlineLevel="0" collapsed="false">
      <c r="B18" s="5" t="s">
        <v>89</v>
      </c>
      <c r="C18" s="10" t="n">
        <f aca="false">PMT(Assumptions!C38/12,Assumptions!C39*12,-Assumptions!C37)*12</f>
        <v>18248.7548595723</v>
      </c>
      <c r="D18" s="10" t="n">
        <f aca="false">PMT(Assumptions!C38/12,Assumptions!C39*12,-Assumptions!C37)*12</f>
        <v>18248.7548595723</v>
      </c>
      <c r="E18" s="10" t="n">
        <f aca="false">PMT(Assumptions!C38/12,Assumptions!C39*12,-Assumptions!C37)*12+PMT(Assumptions!C38/12,Assumptions!C39*12,-Assumptions!C44)*12</f>
        <v>35280.9260618398</v>
      </c>
      <c r="F18" s="10" t="n">
        <f aca="false">PMT(Assumptions!C38/12,Assumptions!C39*12,-Assumptions!C37)*12+PMT(Assumptions!C38/12,Assumptions!C39*12,-Assumptions!C44)*12</f>
        <v>35280.9260618398</v>
      </c>
      <c r="G18" s="10" t="n">
        <f aca="false">PMT(Assumptions!C38/12,Assumptions!C39*12,-Assumptions!C37)*12+PMT(Assumptions!C38/12,Assumptions!C39*12,-Assumptions!C44)*12</f>
        <v>35280.9260618398</v>
      </c>
    </row>
    <row r="19" customFormat="false" ht="15" hidden="false" customHeight="false" outlineLevel="0" collapsed="false">
      <c r="B19" s="15" t="s">
        <v>90</v>
      </c>
      <c r="C19" s="16" t="n">
        <f aca="false">C17+C18</f>
        <v>163448.754859572</v>
      </c>
      <c r="D19" s="16" t="n">
        <f aca="false">D17+D18</f>
        <v>163448.754859572</v>
      </c>
      <c r="E19" s="16" t="n">
        <f aca="false">E17+E18</f>
        <v>202080.92606184</v>
      </c>
      <c r="F19" s="16" t="n">
        <f aca="false">F17+F18</f>
        <v>202080.92606184</v>
      </c>
      <c r="G19" s="16" t="n">
        <f aca="false">G17+G18</f>
        <v>202080.92606184</v>
      </c>
    </row>
    <row r="21" customFormat="false" ht="15" hidden="false" customHeight="false" outlineLevel="0" collapsed="false">
      <c r="B21" s="17" t="s">
        <v>91</v>
      </c>
      <c r="C21" s="18" t="n">
        <f aca="false">C15-C19</f>
        <v>44451.2451404277</v>
      </c>
      <c r="D21" s="18" t="n">
        <f aca="false">D15-D19</f>
        <v>133551.245140428</v>
      </c>
      <c r="E21" s="18" t="n">
        <f aca="false">E15-E19</f>
        <v>362219.07393816</v>
      </c>
      <c r="F21" s="18" t="n">
        <f aca="false">F15-F19</f>
        <v>451319.07393816</v>
      </c>
      <c r="G21" s="18" t="n">
        <f aca="false">G15-G19</f>
        <v>451319.07393816</v>
      </c>
    </row>
    <row r="22" customFormat="false" ht="15" hidden="false" customHeight="false" outlineLevel="0" collapsed="false">
      <c r="B22" s="5" t="s">
        <v>92</v>
      </c>
      <c r="C22" s="10" t="n">
        <f aca="false">C21/12</f>
        <v>3704.27042836897</v>
      </c>
      <c r="D22" s="10" t="n">
        <f aca="false">D21/12</f>
        <v>11129.270428369</v>
      </c>
      <c r="E22" s="10" t="n">
        <f aca="false">E21/12</f>
        <v>30184.92282818</v>
      </c>
      <c r="F22" s="10" t="n">
        <f aca="false">F21/12</f>
        <v>37609.92282818</v>
      </c>
      <c r="G22" s="10" t="n">
        <f aca="false">G21/12</f>
        <v>37609.92282818</v>
      </c>
    </row>
    <row r="24" customFormat="false" ht="15" hidden="false" customHeight="false" outlineLevel="0" collapsed="false">
      <c r="B24" s="3" t="s">
        <v>93</v>
      </c>
      <c r="C24" s="4"/>
      <c r="D24" s="4"/>
      <c r="E24" s="4"/>
      <c r="F24" s="4"/>
      <c r="G24" s="4"/>
    </row>
    <row r="25" customFormat="false" ht="15" hidden="false" customHeight="false" outlineLevel="0" collapsed="false">
      <c r="B25" s="19" t="s">
        <v>94</v>
      </c>
      <c r="C25" s="20" t="n">
        <f aca="false">C7+C21</f>
        <v>271451.245140428</v>
      </c>
      <c r="D25" s="20" t="n">
        <f aca="false">D7+D21</f>
        <v>367361.245140428</v>
      </c>
      <c r="E25" s="20" t="n">
        <f aca="false">E7+E21</f>
        <v>603043.37393816</v>
      </c>
      <c r="F25" s="20" t="n">
        <f aca="false">F7+F21</f>
        <v>699368.10293816</v>
      </c>
      <c r="G25" s="20" t="n">
        <f aca="false">G7+G21</f>
        <v>706809.57380816</v>
      </c>
    </row>
    <row r="26" customFormat="false" ht="15" hidden="false" customHeight="false" outlineLevel="0" collapsed="false">
      <c r="B26" s="13" t="s">
        <v>95</v>
      </c>
      <c r="C26" s="14" t="n">
        <f aca="false">C21</f>
        <v>44451.2451404277</v>
      </c>
      <c r="D26" s="14" t="n">
        <f aca="false">D21</f>
        <v>133551.245140428</v>
      </c>
      <c r="E26" s="14" t="n">
        <f aca="false">E21</f>
        <v>362219.07393816</v>
      </c>
      <c r="F26" s="14" t="n">
        <f aca="false">F21</f>
        <v>451319.07393816</v>
      </c>
      <c r="G26" s="14" t="n">
        <f aca="false">G21</f>
        <v>451319.07393816</v>
      </c>
    </row>
    <row r="28" customFormat="false" ht="15" hidden="false" customHeight="false" outlineLevel="0" collapsed="false">
      <c r="B28" s="5" t="s">
        <v>96</v>
      </c>
      <c r="C28" s="10" t="n">
        <f aca="false">C21</f>
        <v>44451.2451404277</v>
      </c>
      <c r="D28" s="10" t="n">
        <f aca="false">D21</f>
        <v>133551.245140428</v>
      </c>
      <c r="E28" s="10" t="n">
        <f aca="false">E21</f>
        <v>362219.07393816</v>
      </c>
      <c r="F28" s="10" t="n">
        <f aca="false">F21</f>
        <v>451319.07393816</v>
      </c>
      <c r="G28" s="10" t="n">
        <f aca="false">G21</f>
        <v>451319.07393816</v>
      </c>
    </row>
    <row r="29" customFormat="false" ht="15" hidden="false" customHeight="false" outlineLevel="0" collapsed="false">
      <c r="B29" s="5" t="s">
        <v>97</v>
      </c>
      <c r="C29" s="10" t="n">
        <f aca="false">C28-Assumptions!C6</f>
        <v>-182548.754859572</v>
      </c>
      <c r="D29" s="10" t="n">
        <f aca="false">D28-Assumptions!C6</f>
        <v>-93448.7548595723</v>
      </c>
      <c r="E29" s="10" t="n">
        <f aca="false">E28-Assumptions!C6</f>
        <v>135219.07393816</v>
      </c>
      <c r="F29" s="10" t="n">
        <f aca="false">F28-Assumptions!C6</f>
        <v>224319.07393816</v>
      </c>
      <c r="G29" s="10" t="n">
        <f aca="false">G28-Assumptions!C6</f>
        <v>224319.07393816</v>
      </c>
    </row>
    <row r="30" customFormat="false" ht="15" hidden="false" customHeight="false" outlineLevel="0" collapsed="false">
      <c r="B30" s="13" t="s">
        <v>98</v>
      </c>
      <c r="C30" s="13" t="str">
        <f aca="false">IF(C28&gt;=Assumptions!C6,"YES - Fairway alone covers OTE","Not yet - keep day job")</f>
        <v>Not yet - keep day job</v>
      </c>
      <c r="D30" s="13" t="str">
        <f aca="false">IF(D28&gt;=Assumptions!C6,"YES - Fairway alone covers OTE","Not yet - keep day job")</f>
        <v>Not yet - keep day job</v>
      </c>
      <c r="E30" s="13" t="str">
        <f aca="false">IF(E28&gt;=Assumptions!C6,"YES - Fairway alone covers OTE","Not yet - keep day job")</f>
        <v>YES - Fairway alone covers OTE</v>
      </c>
      <c r="F30" s="13" t="str">
        <f aca="false">IF(F28&gt;=Assumptions!C6,"YES - Fairway alone covers OTE","Not yet - keep day job")</f>
        <v>YES - Fairway alone covers OTE</v>
      </c>
      <c r="G30" s="13" t="str">
        <f aca="false">IF(G28&gt;=Assumptions!C6,"YES - Fairway alone covers OTE","Not yet - keep day job")</f>
        <v>YES - Fairway alone covers OTE</v>
      </c>
    </row>
    <row r="32" customFormat="false" ht="15" hidden="false" customHeight="false" outlineLevel="0" collapsed="false">
      <c r="B32" s="3" t="s">
        <v>99</v>
      </c>
      <c r="C32" s="4"/>
      <c r="D32" s="4"/>
      <c r="E32" s="4"/>
      <c r="F32" s="4"/>
      <c r="G32" s="4"/>
    </row>
    <row r="33" customFormat="false" ht="15" hidden="false" customHeight="false" outlineLevel="0" collapsed="false">
      <c r="B33" s="5" t="s">
        <v>100</v>
      </c>
      <c r="C33" s="10" t="n">
        <f aca="false">C21</f>
        <v>44451.2451404277</v>
      </c>
      <c r="D33" s="10" t="n">
        <f aca="false">C33+D21</f>
        <v>178002.490280855</v>
      </c>
      <c r="E33" s="10" t="n">
        <f aca="false">D33+E21</f>
        <v>540221.564219016</v>
      </c>
      <c r="F33" s="10" t="n">
        <f aca="false">E33+F21</f>
        <v>991540.638157176</v>
      </c>
      <c r="G33" s="10" t="n">
        <f aca="false">F33+G21</f>
        <v>1442859.71209534</v>
      </c>
    </row>
    <row r="34" customFormat="false" ht="15" hidden="false" customHeight="false" outlineLevel="0" collapsed="false">
      <c r="B34" s="5" t="s">
        <v>101</v>
      </c>
      <c r="C34" s="13" t="str">
        <f aca="false">IF(C33&gt;=Assumptions!C36,"YES - equity recovered","Not yet")</f>
        <v>Not yet</v>
      </c>
      <c r="D34" s="13" t="str">
        <f aca="false">IF(D33&gt;=Assumptions!C36,"YES - equity recovered","Not yet")</f>
        <v>YES - equity recovered</v>
      </c>
      <c r="E34" s="13" t="str">
        <f aca="false">IF(E33&gt;=Assumptions!C36,"YES - equity recovered","Not yet")</f>
        <v>YES - equity recovered</v>
      </c>
      <c r="F34" s="13" t="str">
        <f aca="false">IF(F33&gt;=Assumptions!C36,"YES - equity recovered","Not yet")</f>
        <v>YES - equity recovered</v>
      </c>
      <c r="G34" s="13" t="str">
        <f aca="false">IF(G33&gt;=Assumptions!C36,"YES - equity recovered","Not yet")</f>
        <v>YES - equity recovered</v>
      </c>
    </row>
    <row r="35" customFormat="false" ht="15" hidden="false" customHeight="false" outlineLevel="0" collapsed="false">
      <c r="B35" s="5" t="s">
        <v>102</v>
      </c>
      <c r="C35" s="10" t="n">
        <f aca="false">MAX(0,C21*3)</f>
        <v>133353.735421283</v>
      </c>
      <c r="D35" s="10" t="n">
        <f aca="false">MAX(0,D21*3)</f>
        <v>400653.735421283</v>
      </c>
      <c r="E35" s="10" t="n">
        <f aca="false">MAX(0,E21*3)</f>
        <v>1086657.22181448</v>
      </c>
      <c r="F35" s="10" t="n">
        <f aca="false">MAX(0,F21*3)</f>
        <v>1353957.22181448</v>
      </c>
      <c r="G35" s="10" t="n">
        <f aca="false">MAX(0,G21*3)</f>
        <v>1353957.22181448</v>
      </c>
    </row>
    <row r="36" customFormat="false" ht="15" hidden="false" customHeight="false" outlineLevel="0" collapsed="false">
      <c r="B36" s="5" t="s">
        <v>103</v>
      </c>
      <c r="C36" s="10" t="n">
        <f aca="false">C33+C35</f>
        <v>177804.980561711</v>
      </c>
      <c r="D36" s="10" t="n">
        <f aca="false">D33+D35</f>
        <v>578656.225702138</v>
      </c>
      <c r="E36" s="10" t="n">
        <f aca="false">E33+E35</f>
        <v>1626878.7860335</v>
      </c>
      <c r="F36" s="10" t="n">
        <f aca="false">F33+F35</f>
        <v>2345497.85997166</v>
      </c>
      <c r="G36" s="10" t="n">
        <f aca="false">G33+G35</f>
        <v>2796816.93390982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15" min="3" style="0" width="11"/>
  </cols>
  <sheetData>
    <row r="2" customFormat="false" ht="17.35" hidden="false" customHeight="false" outlineLevel="0" collapsed="false">
      <c r="B2" s="1" t="s">
        <v>104</v>
      </c>
    </row>
    <row r="3" customFormat="false" ht="15" hidden="false" customHeight="false" outlineLevel="0" collapsed="false">
      <c r="B3" s="2" t="s">
        <v>105</v>
      </c>
    </row>
    <row r="5" customFormat="false" ht="15" hidden="false" customHeight="false" outlineLevel="0" collapsed="false">
      <c r="B5" s="21"/>
      <c r="C5" s="9" t="s">
        <v>106</v>
      </c>
      <c r="D5" s="9" t="s">
        <v>107</v>
      </c>
      <c r="E5" s="9" t="s">
        <v>108</v>
      </c>
      <c r="F5" s="9" t="s">
        <v>109</v>
      </c>
      <c r="G5" s="9" t="s">
        <v>110</v>
      </c>
      <c r="H5" s="9" t="s">
        <v>111</v>
      </c>
      <c r="I5" s="9" t="s">
        <v>112</v>
      </c>
      <c r="J5" s="9" t="s">
        <v>113</v>
      </c>
      <c r="K5" s="9" t="s">
        <v>114</v>
      </c>
      <c r="L5" s="9" t="s">
        <v>115</v>
      </c>
      <c r="M5" s="9" t="s">
        <v>116</v>
      </c>
      <c r="N5" s="9" t="s">
        <v>117</v>
      </c>
      <c r="O5" s="9" t="s">
        <v>118</v>
      </c>
    </row>
    <row r="6" customFormat="false" ht="15" hidden="false" customHeight="false" outlineLevel="0" collapsed="false">
      <c r="B6" s="3" t="s">
        <v>119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customFormat="false" ht="15" hidden="false" customHeight="false" outlineLevel="0" collapsed="false">
      <c r="B7" s="5" t="s">
        <v>120</v>
      </c>
      <c r="C7" s="10" t="n">
        <f aca="false">Assumptions!C6/12</f>
        <v>18916.6666666667</v>
      </c>
      <c r="D7" s="10" t="n">
        <f aca="false">Assumptions!C6/12</f>
        <v>18916.6666666667</v>
      </c>
      <c r="E7" s="10" t="n">
        <f aca="false">Assumptions!C6/12</f>
        <v>18916.6666666667</v>
      </c>
      <c r="F7" s="10" t="n">
        <f aca="false">Assumptions!C6/12</f>
        <v>18916.6666666667</v>
      </c>
      <c r="G7" s="10" t="n">
        <f aca="false">Assumptions!C6/12</f>
        <v>18916.6666666667</v>
      </c>
      <c r="H7" s="10" t="n">
        <f aca="false">Assumptions!C6/12</f>
        <v>18916.6666666667</v>
      </c>
      <c r="I7" s="10" t="n">
        <f aca="false">Assumptions!C6/12</f>
        <v>18916.6666666667</v>
      </c>
      <c r="J7" s="10" t="n">
        <f aca="false">Assumptions!C6/12</f>
        <v>18916.6666666667</v>
      </c>
      <c r="K7" s="10" t="n">
        <f aca="false">Assumptions!C6/12</f>
        <v>18916.6666666667</v>
      </c>
      <c r="L7" s="10" t="n">
        <f aca="false">Assumptions!C6/12</f>
        <v>18916.6666666667</v>
      </c>
      <c r="M7" s="10" t="n">
        <f aca="false">Assumptions!C6/12</f>
        <v>18916.6666666667</v>
      </c>
      <c r="N7" s="10" t="n">
        <f aca="false">Assumptions!C6/12</f>
        <v>18916.6666666667</v>
      </c>
      <c r="O7" s="22" t="n">
        <f aca="false">SUM(C7:N7)</f>
        <v>227000</v>
      </c>
    </row>
    <row r="8" customFormat="false" ht="15" hidden="false" customHeight="false" outlineLevel="0" collapsed="false">
      <c r="B8" s="5" t="s">
        <v>121</v>
      </c>
      <c r="C8" s="10" t="n">
        <f aca="false">C7*(1-Assumptions!C8)</f>
        <v>11728.3333333333</v>
      </c>
      <c r="D8" s="10" t="n">
        <f aca="false">D7*(1-Assumptions!C8)</f>
        <v>11728.3333333333</v>
      </c>
      <c r="E8" s="10" t="n">
        <f aca="false">E7*(1-Assumptions!C8)</f>
        <v>11728.3333333333</v>
      </c>
      <c r="F8" s="10" t="n">
        <f aca="false">F7*(1-Assumptions!C8)</f>
        <v>11728.3333333333</v>
      </c>
      <c r="G8" s="10" t="n">
        <f aca="false">G7*(1-Assumptions!C8)</f>
        <v>11728.3333333333</v>
      </c>
      <c r="H8" s="10" t="n">
        <f aca="false">H7*(1-Assumptions!C8)</f>
        <v>11728.3333333333</v>
      </c>
      <c r="I8" s="10" t="n">
        <f aca="false">I7*(1-Assumptions!C8)</f>
        <v>11728.3333333333</v>
      </c>
      <c r="J8" s="10" t="n">
        <f aca="false">J7*(1-Assumptions!C8)</f>
        <v>11728.3333333333</v>
      </c>
      <c r="K8" s="10" t="n">
        <f aca="false">K7*(1-Assumptions!C8)</f>
        <v>11728.3333333333</v>
      </c>
      <c r="L8" s="10" t="n">
        <f aca="false">L7*(1-Assumptions!C8)</f>
        <v>11728.3333333333</v>
      </c>
      <c r="M8" s="10" t="n">
        <f aca="false">M7*(1-Assumptions!C8)</f>
        <v>11728.3333333333</v>
      </c>
      <c r="N8" s="10" t="n">
        <f aca="false">N7*(1-Assumptions!C8)</f>
        <v>11728.3333333333</v>
      </c>
      <c r="O8" s="22" t="n">
        <f aca="false">SUM(C8:N8)</f>
        <v>140740</v>
      </c>
    </row>
    <row r="10" customFormat="false" ht="15" hidden="false" customHeight="false" outlineLevel="0" collapsed="false">
      <c r="B10" s="3" t="s">
        <v>122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customFormat="false" ht="15" hidden="false" customHeight="false" outlineLevel="0" collapsed="false">
      <c r="B11" s="23" t="s">
        <v>123</v>
      </c>
      <c r="C11" s="7" t="n">
        <v>0.2</v>
      </c>
      <c r="D11" s="7" t="n">
        <v>0.25</v>
      </c>
      <c r="E11" s="7" t="n">
        <v>0.28</v>
      </c>
      <c r="F11" s="7" t="n">
        <v>0.32</v>
      </c>
      <c r="G11" s="7" t="n">
        <v>0.35</v>
      </c>
      <c r="H11" s="7" t="n">
        <v>0.38</v>
      </c>
      <c r="I11" s="7" t="n">
        <v>0.4</v>
      </c>
      <c r="J11" s="7" t="n">
        <v>0.43</v>
      </c>
      <c r="K11" s="7" t="n">
        <v>0.45</v>
      </c>
      <c r="L11" s="7" t="n">
        <v>0.48</v>
      </c>
      <c r="M11" s="7" t="n">
        <v>0.5</v>
      </c>
      <c r="N11" s="7" t="n">
        <v>0.52</v>
      </c>
    </row>
    <row r="12" customFormat="false" ht="15" hidden="false" customHeight="false" outlineLevel="0" collapsed="false">
      <c r="B12" s="5" t="s">
        <v>85</v>
      </c>
      <c r="C12" s="10" t="n">
        <f aca="false">Assumptions!C11*Assumptions!C12*30*Assumptions!C14*C11</f>
        <v>7920</v>
      </c>
      <c r="D12" s="10" t="n">
        <f aca="false">Assumptions!C11*Assumptions!C12*30*Assumptions!C14*D11</f>
        <v>9900</v>
      </c>
      <c r="E12" s="10" t="n">
        <f aca="false">Assumptions!C11*Assumptions!C12*30*Assumptions!C14*E11</f>
        <v>11088</v>
      </c>
      <c r="F12" s="10" t="n">
        <f aca="false">Assumptions!C11*Assumptions!C12*30*Assumptions!C14*F11</f>
        <v>12672</v>
      </c>
      <c r="G12" s="10" t="n">
        <f aca="false">Assumptions!C11*Assumptions!C12*30*Assumptions!C14*G11</f>
        <v>13860</v>
      </c>
      <c r="H12" s="10" t="n">
        <f aca="false">Assumptions!C11*Assumptions!C12*30*Assumptions!C14*H11</f>
        <v>15048</v>
      </c>
      <c r="I12" s="10" t="n">
        <f aca="false">Assumptions!C11*Assumptions!C12*30*Assumptions!C14*I11</f>
        <v>15840</v>
      </c>
      <c r="J12" s="10" t="n">
        <f aca="false">Assumptions!C11*Assumptions!C12*30*Assumptions!C14*J11</f>
        <v>17028</v>
      </c>
      <c r="K12" s="10" t="n">
        <f aca="false">Assumptions!C11*Assumptions!C12*30*Assumptions!C14*K11</f>
        <v>17820</v>
      </c>
      <c r="L12" s="10" t="n">
        <f aca="false">Assumptions!C11*Assumptions!C12*30*Assumptions!C14*L11</f>
        <v>19008</v>
      </c>
      <c r="M12" s="10" t="n">
        <f aca="false">Assumptions!C11*Assumptions!C12*30*Assumptions!C14*M11</f>
        <v>19800</v>
      </c>
      <c r="N12" s="10" t="n">
        <f aca="false">Assumptions!C11*Assumptions!C12*30*Assumptions!C14*N11</f>
        <v>20592</v>
      </c>
      <c r="O12" s="22" t="n">
        <f aca="false">SUM(C12:N12)</f>
        <v>180576</v>
      </c>
    </row>
    <row r="13" customFormat="false" ht="15" hidden="false" customHeight="false" outlineLevel="0" collapsed="false">
      <c r="B13" s="5" t="s">
        <v>124</v>
      </c>
      <c r="C13" s="10" t="n">
        <f aca="false">C12*(Assumptions!C20+Assumptions!C21+Assumptions!C22)</f>
        <v>1980</v>
      </c>
      <c r="D13" s="10" t="n">
        <f aca="false">D12*(Assumptions!C20+Assumptions!C21+Assumptions!C22)</f>
        <v>2475</v>
      </c>
      <c r="E13" s="10" t="n">
        <f aca="false">E12*(Assumptions!C20+Assumptions!C21+Assumptions!C22)</f>
        <v>2772</v>
      </c>
      <c r="F13" s="10" t="n">
        <f aca="false">F12*(Assumptions!C20+Assumptions!C21+Assumptions!C22)</f>
        <v>3168</v>
      </c>
      <c r="G13" s="10" t="n">
        <f aca="false">G12*(Assumptions!C20+Assumptions!C21+Assumptions!C22)</f>
        <v>3465</v>
      </c>
      <c r="H13" s="10" t="n">
        <f aca="false">H12*(Assumptions!C20+Assumptions!C21+Assumptions!C22)</f>
        <v>3762</v>
      </c>
      <c r="I13" s="10" t="n">
        <f aca="false">I12*(Assumptions!C20+Assumptions!C21+Assumptions!C22)</f>
        <v>3960</v>
      </c>
      <c r="J13" s="10" t="n">
        <f aca="false">J12*(Assumptions!C20+Assumptions!C21+Assumptions!C22)</f>
        <v>4257</v>
      </c>
      <c r="K13" s="10" t="n">
        <f aca="false">K12*(Assumptions!C20+Assumptions!C21+Assumptions!C22)</f>
        <v>4455</v>
      </c>
      <c r="L13" s="10" t="n">
        <f aca="false">L12*(Assumptions!C20+Assumptions!C21+Assumptions!C22)</f>
        <v>4752</v>
      </c>
      <c r="M13" s="10" t="n">
        <f aca="false">M12*(Assumptions!C20+Assumptions!C21+Assumptions!C22)</f>
        <v>4950</v>
      </c>
      <c r="N13" s="10" t="n">
        <f aca="false">N12*(Assumptions!C20+Assumptions!C21+Assumptions!C22)</f>
        <v>5148</v>
      </c>
      <c r="O13" s="22" t="n">
        <f aca="false">SUM(C13:N13)</f>
        <v>45144</v>
      </c>
    </row>
    <row r="14" customFormat="false" ht="15" hidden="false" customHeight="false" outlineLevel="0" collapsed="false">
      <c r="B14" s="13" t="s">
        <v>125</v>
      </c>
      <c r="C14" s="14" t="n">
        <f aca="false">C12+C13</f>
        <v>9900</v>
      </c>
      <c r="D14" s="14" t="n">
        <f aca="false">D12+D13</f>
        <v>12375</v>
      </c>
      <c r="E14" s="14" t="n">
        <f aca="false">E12+E13</f>
        <v>13860</v>
      </c>
      <c r="F14" s="14" t="n">
        <f aca="false">F12+F13</f>
        <v>15840</v>
      </c>
      <c r="G14" s="14" t="n">
        <f aca="false">G12+G13</f>
        <v>17325</v>
      </c>
      <c r="H14" s="14" t="n">
        <f aca="false">H12+H13</f>
        <v>18810</v>
      </c>
      <c r="I14" s="14" t="n">
        <f aca="false">I12+I13</f>
        <v>19800</v>
      </c>
      <c r="J14" s="14" t="n">
        <f aca="false">J12+J13</f>
        <v>21285</v>
      </c>
      <c r="K14" s="14" t="n">
        <f aca="false">K12+K13</f>
        <v>22275</v>
      </c>
      <c r="L14" s="14" t="n">
        <f aca="false">L12+L13</f>
        <v>23760</v>
      </c>
      <c r="M14" s="14" t="n">
        <f aca="false">M12+M13</f>
        <v>24750</v>
      </c>
      <c r="N14" s="14" t="n">
        <f aca="false">N12+N13</f>
        <v>25740</v>
      </c>
      <c r="O14" s="22" t="n">
        <f aca="false">SUM(C14:N14)</f>
        <v>225720</v>
      </c>
    </row>
    <row r="16" customFormat="false" ht="15" hidden="false" customHeight="false" outlineLevel="0" collapsed="false">
      <c r="B16" s="3" t="s">
        <v>126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customFormat="false" ht="15" hidden="false" customHeight="false" outlineLevel="0" collapsed="false">
      <c r="B17" s="5" t="s">
        <v>127</v>
      </c>
      <c r="C17" s="10" t="n">
        <f aca="false">(Assumptions!C25+Assumptions!C26+Assumptions!C27+Assumptions!C28+Assumptions!C29+Assumptions!C30+Assumptions!C31+Assumptions!C32)</f>
        <v>12100</v>
      </c>
      <c r="D17" s="10" t="n">
        <f aca="false">(Assumptions!C25+Assumptions!C26+Assumptions!C27+Assumptions!C28+Assumptions!C29+Assumptions!C30+Assumptions!C31+Assumptions!C32)</f>
        <v>12100</v>
      </c>
      <c r="E17" s="10" t="n">
        <f aca="false">(Assumptions!C25+Assumptions!C26+Assumptions!C27+Assumptions!C28+Assumptions!C29+Assumptions!C30+Assumptions!C31+Assumptions!C32)</f>
        <v>12100</v>
      </c>
      <c r="F17" s="10" t="n">
        <f aca="false">(Assumptions!C25+Assumptions!C26+Assumptions!C27+Assumptions!C28+Assumptions!C29+Assumptions!C30+Assumptions!C31+Assumptions!C32)</f>
        <v>12100</v>
      </c>
      <c r="G17" s="10" t="n">
        <f aca="false">(Assumptions!C25+Assumptions!C26+Assumptions!C27+Assumptions!C28+Assumptions!C29+Assumptions!C30+Assumptions!C31+Assumptions!C32)</f>
        <v>12100</v>
      </c>
      <c r="H17" s="10" t="n">
        <f aca="false">(Assumptions!C25+Assumptions!C26+Assumptions!C27+Assumptions!C28+Assumptions!C29+Assumptions!C30+Assumptions!C31+Assumptions!C32)</f>
        <v>12100</v>
      </c>
      <c r="I17" s="10" t="n">
        <f aca="false">(Assumptions!C25+Assumptions!C26+Assumptions!C27+Assumptions!C28+Assumptions!C29+Assumptions!C30+Assumptions!C31+Assumptions!C32)</f>
        <v>12100</v>
      </c>
      <c r="J17" s="10" t="n">
        <f aca="false">(Assumptions!C25+Assumptions!C26+Assumptions!C27+Assumptions!C28+Assumptions!C29+Assumptions!C30+Assumptions!C31+Assumptions!C32)</f>
        <v>12100</v>
      </c>
      <c r="K17" s="10" t="n">
        <f aca="false">(Assumptions!C25+Assumptions!C26+Assumptions!C27+Assumptions!C28+Assumptions!C29+Assumptions!C30+Assumptions!C31+Assumptions!C32)</f>
        <v>12100</v>
      </c>
      <c r="L17" s="10" t="n">
        <f aca="false">(Assumptions!C25+Assumptions!C26+Assumptions!C27+Assumptions!C28+Assumptions!C29+Assumptions!C30+Assumptions!C31+Assumptions!C32)</f>
        <v>12100</v>
      </c>
      <c r="M17" s="10" t="n">
        <f aca="false">(Assumptions!C25+Assumptions!C26+Assumptions!C27+Assumptions!C28+Assumptions!C29+Assumptions!C30+Assumptions!C31+Assumptions!C32)</f>
        <v>12100</v>
      </c>
      <c r="N17" s="10" t="n">
        <f aca="false">(Assumptions!C25+Assumptions!C26+Assumptions!C27+Assumptions!C28+Assumptions!C29+Assumptions!C30+Assumptions!C31+Assumptions!C32)</f>
        <v>12100</v>
      </c>
      <c r="O17" s="22" t="n">
        <f aca="false">SUM(C17:N17)</f>
        <v>145200</v>
      </c>
    </row>
    <row r="18" customFormat="false" ht="15" hidden="false" customHeight="false" outlineLevel="0" collapsed="false">
      <c r="B18" s="5" t="s">
        <v>128</v>
      </c>
      <c r="C18" s="10" t="n">
        <f aca="false">PMT(Assumptions!C38/12,Assumptions!C39*12,-Assumptions!C37)</f>
        <v>1520.72957163103</v>
      </c>
      <c r="D18" s="10" t="n">
        <f aca="false">PMT(Assumptions!C38/12,Assumptions!C39*12,-Assumptions!C37)</f>
        <v>1520.72957163103</v>
      </c>
      <c r="E18" s="10" t="n">
        <f aca="false">PMT(Assumptions!C38/12,Assumptions!C39*12,-Assumptions!C37)</f>
        <v>1520.72957163103</v>
      </c>
      <c r="F18" s="10" t="n">
        <f aca="false">PMT(Assumptions!C38/12,Assumptions!C39*12,-Assumptions!C37)</f>
        <v>1520.72957163103</v>
      </c>
      <c r="G18" s="10" t="n">
        <f aca="false">PMT(Assumptions!C38/12,Assumptions!C39*12,-Assumptions!C37)</f>
        <v>1520.72957163103</v>
      </c>
      <c r="H18" s="10" t="n">
        <f aca="false">PMT(Assumptions!C38/12,Assumptions!C39*12,-Assumptions!C37)</f>
        <v>1520.72957163103</v>
      </c>
      <c r="I18" s="10" t="n">
        <f aca="false">PMT(Assumptions!C38/12,Assumptions!C39*12,-Assumptions!C37)</f>
        <v>1520.72957163103</v>
      </c>
      <c r="J18" s="10" t="n">
        <f aca="false">PMT(Assumptions!C38/12,Assumptions!C39*12,-Assumptions!C37)</f>
        <v>1520.72957163103</v>
      </c>
      <c r="K18" s="10" t="n">
        <f aca="false">PMT(Assumptions!C38/12,Assumptions!C39*12,-Assumptions!C37)</f>
        <v>1520.72957163103</v>
      </c>
      <c r="L18" s="10" t="n">
        <f aca="false">PMT(Assumptions!C38/12,Assumptions!C39*12,-Assumptions!C37)</f>
        <v>1520.72957163103</v>
      </c>
      <c r="M18" s="10" t="n">
        <f aca="false">PMT(Assumptions!C38/12,Assumptions!C39*12,-Assumptions!C37)</f>
        <v>1520.72957163103</v>
      </c>
      <c r="N18" s="10" t="n">
        <f aca="false">PMT(Assumptions!C38/12,Assumptions!C39*12,-Assumptions!C37)</f>
        <v>1520.72957163103</v>
      </c>
      <c r="O18" s="22" t="n">
        <f aca="false">SUM(C18:N18)</f>
        <v>18248.7548595723</v>
      </c>
    </row>
    <row r="19" customFormat="false" ht="15" hidden="false" customHeight="false" outlineLevel="0" collapsed="false">
      <c r="B19" s="15" t="s">
        <v>129</v>
      </c>
      <c r="C19" s="16" t="n">
        <f aca="false">C17+C18</f>
        <v>13620.729571631</v>
      </c>
      <c r="D19" s="16" t="n">
        <f aca="false">D17+D18</f>
        <v>13620.729571631</v>
      </c>
      <c r="E19" s="16" t="n">
        <f aca="false">E17+E18</f>
        <v>13620.729571631</v>
      </c>
      <c r="F19" s="16" t="n">
        <f aca="false">F17+F18</f>
        <v>13620.729571631</v>
      </c>
      <c r="G19" s="16" t="n">
        <f aca="false">G17+G18</f>
        <v>13620.729571631</v>
      </c>
      <c r="H19" s="16" t="n">
        <f aca="false">H17+H18</f>
        <v>13620.729571631</v>
      </c>
      <c r="I19" s="16" t="n">
        <f aca="false">I17+I18</f>
        <v>13620.729571631</v>
      </c>
      <c r="J19" s="16" t="n">
        <f aca="false">J17+J18</f>
        <v>13620.729571631</v>
      </c>
      <c r="K19" s="16" t="n">
        <f aca="false">K17+K18</f>
        <v>13620.729571631</v>
      </c>
      <c r="L19" s="16" t="n">
        <f aca="false">L17+L18</f>
        <v>13620.729571631</v>
      </c>
      <c r="M19" s="16" t="n">
        <f aca="false">M17+M18</f>
        <v>13620.729571631</v>
      </c>
      <c r="N19" s="16" t="n">
        <f aca="false">N17+N18</f>
        <v>13620.729571631</v>
      </c>
      <c r="O19" s="22" t="n">
        <f aca="false">SUM(C19:N19)</f>
        <v>163448.754859572</v>
      </c>
    </row>
    <row r="21" customFormat="false" ht="15" hidden="false" customHeight="false" outlineLevel="0" collapsed="false">
      <c r="B21" s="17" t="s">
        <v>130</v>
      </c>
      <c r="C21" s="18" t="n">
        <f aca="false">C14-C19</f>
        <v>-3720.72957163103</v>
      </c>
      <c r="D21" s="18" t="n">
        <f aca="false">D14-D19</f>
        <v>-1245.72957163103</v>
      </c>
      <c r="E21" s="18" t="n">
        <f aca="false">E14-E19</f>
        <v>239.270428368976</v>
      </c>
      <c r="F21" s="18" t="n">
        <f aca="false">F14-F19</f>
        <v>2219.27042836897</v>
      </c>
      <c r="G21" s="18" t="n">
        <f aca="false">G14-G19</f>
        <v>3704.27042836897</v>
      </c>
      <c r="H21" s="18" t="n">
        <f aca="false">H14-H19</f>
        <v>5189.27042836897</v>
      </c>
      <c r="I21" s="18" t="n">
        <f aca="false">I14-I19</f>
        <v>6179.27042836897</v>
      </c>
      <c r="J21" s="18" t="n">
        <f aca="false">J14-J19</f>
        <v>7664.27042836897</v>
      </c>
      <c r="K21" s="18" t="n">
        <f aca="false">K14-K19</f>
        <v>8654.27042836898</v>
      </c>
      <c r="L21" s="18" t="n">
        <f aca="false">L14-L19</f>
        <v>10139.270428369</v>
      </c>
      <c r="M21" s="18" t="n">
        <f aca="false">M14-M19</f>
        <v>11129.270428369</v>
      </c>
      <c r="N21" s="18" t="n">
        <f aca="false">N14-N19</f>
        <v>12119.270428369</v>
      </c>
      <c r="O21" s="24" t="n">
        <f aca="false">SUM(C21:N21)</f>
        <v>62271.2451404277</v>
      </c>
    </row>
    <row r="23" customFormat="false" ht="15" hidden="false" customHeight="false" outlineLevel="0" collapsed="false">
      <c r="B23" s="3" t="s">
        <v>131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customFormat="false" ht="15" hidden="false" customHeight="false" outlineLevel="0" collapsed="false">
      <c r="B24" s="5" t="s">
        <v>132</v>
      </c>
      <c r="C24" s="10" t="n">
        <f aca="false">C8</f>
        <v>11728.3333333333</v>
      </c>
      <c r="D24" s="10" t="n">
        <f aca="false">D8</f>
        <v>11728.3333333333</v>
      </c>
      <c r="E24" s="10" t="n">
        <f aca="false">E8</f>
        <v>11728.3333333333</v>
      </c>
      <c r="F24" s="10" t="n">
        <f aca="false">F8</f>
        <v>11728.3333333333</v>
      </c>
      <c r="G24" s="10" t="n">
        <f aca="false">G8</f>
        <v>11728.3333333333</v>
      </c>
      <c r="H24" s="10" t="n">
        <f aca="false">H8</f>
        <v>11728.3333333333</v>
      </c>
      <c r="I24" s="10" t="n">
        <f aca="false">I8</f>
        <v>11728.3333333333</v>
      </c>
      <c r="J24" s="10" t="n">
        <f aca="false">J8</f>
        <v>11728.3333333333</v>
      </c>
      <c r="K24" s="10" t="n">
        <f aca="false">K8</f>
        <v>11728.3333333333</v>
      </c>
      <c r="L24" s="10" t="n">
        <f aca="false">L8</f>
        <v>11728.3333333333</v>
      </c>
      <c r="M24" s="10" t="n">
        <f aca="false">M8</f>
        <v>11728.3333333333</v>
      </c>
      <c r="N24" s="10" t="n">
        <f aca="false">N8</f>
        <v>11728.3333333333</v>
      </c>
      <c r="O24" s="22" t="n">
        <f aca="false">SUM(C24:N24)</f>
        <v>140740</v>
      </c>
    </row>
    <row r="25" customFormat="false" ht="15" hidden="false" customHeight="false" outlineLevel="0" collapsed="false">
      <c r="B25" s="5" t="s">
        <v>133</v>
      </c>
      <c r="C25" s="10" t="n">
        <f aca="false">C21</f>
        <v>-3720.72957163103</v>
      </c>
      <c r="D25" s="10" t="n">
        <f aca="false">D21</f>
        <v>-1245.72957163103</v>
      </c>
      <c r="E25" s="10" t="n">
        <f aca="false">E21</f>
        <v>239.270428368976</v>
      </c>
      <c r="F25" s="10" t="n">
        <f aca="false">F21</f>
        <v>2219.27042836897</v>
      </c>
      <c r="G25" s="10" t="n">
        <f aca="false">G21</f>
        <v>3704.27042836897</v>
      </c>
      <c r="H25" s="10" t="n">
        <f aca="false">H21</f>
        <v>5189.27042836897</v>
      </c>
      <c r="I25" s="10" t="n">
        <f aca="false">I21</f>
        <v>6179.27042836897</v>
      </c>
      <c r="J25" s="10" t="n">
        <f aca="false">J21</f>
        <v>7664.27042836897</v>
      </c>
      <c r="K25" s="10" t="n">
        <f aca="false">K21</f>
        <v>8654.27042836898</v>
      </c>
      <c r="L25" s="10" t="n">
        <f aca="false">L21</f>
        <v>10139.270428369</v>
      </c>
      <c r="M25" s="10" t="n">
        <f aca="false">M21</f>
        <v>11129.270428369</v>
      </c>
      <c r="N25" s="10" t="n">
        <f aca="false">N21</f>
        <v>12119.270428369</v>
      </c>
      <c r="O25" s="22" t="n">
        <f aca="false">SUM(C25:N25)</f>
        <v>62271.2451404277</v>
      </c>
    </row>
    <row r="26" customFormat="false" ht="15" hidden="false" customHeight="false" outlineLevel="0" collapsed="false">
      <c r="B26" s="19" t="s">
        <v>134</v>
      </c>
      <c r="C26" s="20" t="n">
        <f aca="false">C24+C25</f>
        <v>8007.60376170231</v>
      </c>
      <c r="D26" s="20" t="n">
        <f aca="false">D24+D25</f>
        <v>10482.6037617023</v>
      </c>
      <c r="E26" s="20" t="n">
        <f aca="false">E24+E25</f>
        <v>11967.6037617023</v>
      </c>
      <c r="F26" s="20" t="n">
        <f aca="false">F24+F25</f>
        <v>13947.6037617023</v>
      </c>
      <c r="G26" s="20" t="n">
        <f aca="false">G24+G25</f>
        <v>15432.6037617023</v>
      </c>
      <c r="H26" s="20" t="n">
        <f aca="false">H24+H25</f>
        <v>16917.6037617023</v>
      </c>
      <c r="I26" s="20" t="n">
        <f aca="false">I24+I25</f>
        <v>17907.6037617023</v>
      </c>
      <c r="J26" s="20" t="n">
        <f aca="false">J24+J25</f>
        <v>19392.6037617023</v>
      </c>
      <c r="K26" s="20" t="n">
        <f aca="false">K24+K25</f>
        <v>20382.6037617023</v>
      </c>
      <c r="L26" s="20" t="n">
        <f aca="false">L24+L25</f>
        <v>21867.6037617023</v>
      </c>
      <c r="M26" s="20" t="n">
        <f aca="false">M24+M25</f>
        <v>22857.6037617023</v>
      </c>
      <c r="N26" s="20" t="n">
        <f aca="false">N24+N25</f>
        <v>23847.6037617023</v>
      </c>
      <c r="O26" s="24" t="n">
        <f aca="false">SUM(C26:N26)</f>
        <v>203011.245140428</v>
      </c>
    </row>
    <row r="28" customFormat="false" ht="15" hidden="false" customHeight="false" outlineLevel="0" collapsed="false">
      <c r="B28" s="3" t="s">
        <v>135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customFormat="false" ht="15" hidden="false" customHeight="false" outlineLevel="0" collapsed="false">
      <c r="B29" s="5" t="s">
        <v>136</v>
      </c>
      <c r="C29" s="14" t="n">
        <f aca="false">C8</f>
        <v>11728.3333333333</v>
      </c>
      <c r="D29" s="14" t="n">
        <f aca="false">D8</f>
        <v>11728.3333333333</v>
      </c>
      <c r="E29" s="14" t="n">
        <f aca="false">E8</f>
        <v>11728.3333333333</v>
      </c>
      <c r="F29" s="14" t="n">
        <f aca="false">F8</f>
        <v>11728.3333333333</v>
      </c>
      <c r="G29" s="14" t="n">
        <f aca="false">G8</f>
        <v>11728.3333333333</v>
      </c>
      <c r="H29" s="14" t="n">
        <f aca="false">H8</f>
        <v>11728.3333333333</v>
      </c>
      <c r="I29" s="14" t="n">
        <f aca="false">I8</f>
        <v>11728.3333333333</v>
      </c>
      <c r="J29" s="14" t="n">
        <f aca="false">J8</f>
        <v>11728.3333333333</v>
      </c>
      <c r="K29" s="14" t="n">
        <f aca="false">K8</f>
        <v>11728.3333333333</v>
      </c>
      <c r="L29" s="14" t="n">
        <f aca="false">L8</f>
        <v>11728.3333333333</v>
      </c>
      <c r="M29" s="14" t="n">
        <f aca="false">M8</f>
        <v>11728.3333333333</v>
      </c>
      <c r="N29" s="14" t="n">
        <f aca="false">N8</f>
        <v>11728.3333333333</v>
      </c>
      <c r="O29" s="22" t="n">
        <f aca="false">SUM(C29:N29)</f>
        <v>140740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22"/>
  </cols>
  <sheetData>
    <row r="2" customFormat="false" ht="17.35" hidden="false" customHeight="false" outlineLevel="0" collapsed="false">
      <c r="B2" s="1" t="s">
        <v>137</v>
      </c>
    </row>
    <row r="3" customFormat="false" ht="15" hidden="false" customHeight="false" outlineLevel="0" collapsed="false">
      <c r="B3" s="25" t="s">
        <v>138</v>
      </c>
    </row>
    <row r="5" customFormat="false" ht="15" hidden="false" customHeight="false" outlineLevel="0" collapsed="false">
      <c r="B5" s="3" t="s">
        <v>139</v>
      </c>
      <c r="C5" s="4"/>
    </row>
    <row r="6" customFormat="false" ht="15" hidden="false" customHeight="false" outlineLevel="0" collapsed="false">
      <c r="B6" s="5" t="s">
        <v>140</v>
      </c>
    </row>
    <row r="7" customFormat="false" ht="15" hidden="false" customHeight="false" outlineLevel="0" collapsed="false">
      <c r="B7" s="5" t="s">
        <v>141</v>
      </c>
    </row>
    <row r="8" customFormat="false" ht="15" hidden="false" customHeight="false" outlineLevel="0" collapsed="false">
      <c r="B8" s="5" t="s">
        <v>142</v>
      </c>
    </row>
    <row r="9" customFormat="false" ht="15" hidden="false" customHeight="false" outlineLevel="0" collapsed="false">
      <c r="B9" s="13" t="s">
        <v>143</v>
      </c>
    </row>
    <row r="11" customFormat="false" ht="15" hidden="false" customHeight="false" outlineLevel="0" collapsed="false">
      <c r="B11" s="26" t="s">
        <v>144</v>
      </c>
      <c r="C11" s="27"/>
    </row>
    <row r="12" customFormat="false" ht="15" hidden="false" customHeight="false" outlineLevel="0" collapsed="false">
      <c r="B12" s="23" t="s">
        <v>145</v>
      </c>
      <c r="C12" s="6" t="n">
        <f aca="false">Assumptions!C36</f>
        <v>75000</v>
      </c>
    </row>
    <row r="13" customFormat="false" ht="15" hidden="false" customHeight="false" outlineLevel="0" collapsed="false">
      <c r="B13" s="5" t="s">
        <v>146</v>
      </c>
      <c r="C13" s="28" t="n">
        <f aca="false">PMT(Assumptions!C38/12,Assumptions!C39*12,-Assumptions!C37)</f>
        <v>1520.72957163103</v>
      </c>
    </row>
    <row r="14" customFormat="false" ht="15" hidden="false" customHeight="false" outlineLevel="0" collapsed="false">
      <c r="B14" s="5" t="s">
        <v>147</v>
      </c>
    </row>
    <row r="15" customFormat="false" ht="15" hidden="false" customHeight="false" outlineLevel="0" collapsed="false">
      <c r="B15" s="2" t="s">
        <v>148</v>
      </c>
    </row>
    <row r="17" customFormat="false" ht="15" hidden="false" customHeight="false" outlineLevel="0" collapsed="false">
      <c r="B17" s="26" t="s">
        <v>149</v>
      </c>
      <c r="C17" s="27"/>
    </row>
    <row r="18" customFormat="false" ht="15" hidden="false" customHeight="false" outlineLevel="0" collapsed="false">
      <c r="B18" s="5" t="s">
        <v>150</v>
      </c>
      <c r="C18" s="28" t="n">
        <f aca="false">'5-Year Projection'!C21</f>
        <v>44451.2451404277</v>
      </c>
    </row>
    <row r="19" customFormat="false" ht="15" hidden="false" customHeight="false" outlineLevel="0" collapsed="false">
      <c r="B19" s="13" t="s">
        <v>151</v>
      </c>
      <c r="C19" s="14" t="n">
        <f aca="false">'5-Year Projection'!D21</f>
        <v>133551.245140428</v>
      </c>
    </row>
    <row r="20" customFormat="false" ht="15" hidden="false" customHeight="false" outlineLevel="0" collapsed="false">
      <c r="B20" s="13" t="s">
        <v>152</v>
      </c>
      <c r="C20" s="14" t="n">
        <f aca="false">'5-Year Projection'!E21</f>
        <v>362219.07393816</v>
      </c>
    </row>
    <row r="21" customFormat="false" ht="15" hidden="false" customHeight="false" outlineLevel="0" collapsed="false">
      <c r="B21" s="13" t="s">
        <v>153</v>
      </c>
      <c r="C21" s="14" t="n">
        <f aca="false">'5-Year Projection'!F21</f>
        <v>451319.07393816</v>
      </c>
    </row>
    <row r="22" customFormat="false" ht="15" hidden="false" customHeight="false" outlineLevel="0" collapsed="false">
      <c r="B22" s="29" t="s">
        <v>154</v>
      </c>
      <c r="C22" s="30" t="n">
        <f aca="false">'5-Year Projection'!G21</f>
        <v>451319.07393816</v>
      </c>
    </row>
    <row r="24" customFormat="false" ht="15" hidden="false" customHeight="false" outlineLevel="0" collapsed="false">
      <c r="B24" s="19" t="s">
        <v>155</v>
      </c>
      <c r="C24" s="20" t="n">
        <f aca="false">'5-Year Projection'!G25</f>
        <v>706809.57380816</v>
      </c>
    </row>
    <row r="25" customFormat="false" ht="15" hidden="false" customHeight="false" outlineLevel="0" collapsed="false">
      <c r="B25" s="5" t="s">
        <v>156</v>
      </c>
      <c r="C25" s="28" t="n">
        <f aca="false">'5-Year Projection'!G7</f>
        <v>255490.49987</v>
      </c>
    </row>
    <row r="27" customFormat="false" ht="15" hidden="false" customHeight="false" outlineLevel="0" collapsed="false">
      <c r="B27" s="3" t="s">
        <v>157</v>
      </c>
      <c r="C27" s="4"/>
    </row>
    <row r="28" customFormat="false" ht="15" hidden="false" customHeight="false" outlineLevel="0" collapsed="false">
      <c r="B28" s="13" t="s">
        <v>158</v>
      </c>
      <c r="C28" s="14" t="n">
        <f aca="false">Assumptions!C6</f>
        <v>227000</v>
      </c>
    </row>
    <row r="29" customFormat="false" ht="15" hidden="false" customHeight="false" outlineLevel="0" collapsed="false">
      <c r="B29" s="15" t="s">
        <v>159</v>
      </c>
      <c r="C29" s="16" t="n">
        <f aca="false">Assumptions!C36</f>
        <v>75000</v>
      </c>
    </row>
    <row r="30" customFormat="false" ht="15" hidden="false" customHeight="false" outlineLevel="0" collapsed="false">
      <c r="B30" s="2" t="s">
        <v>160</v>
      </c>
    </row>
    <row r="32" customFormat="false" ht="15" hidden="false" customHeight="false" outlineLevel="0" collapsed="false">
      <c r="B32" s="3" t="s">
        <v>161</v>
      </c>
      <c r="C32" s="4"/>
    </row>
    <row r="33" customFormat="false" ht="15" hidden="false" customHeight="false" outlineLevel="0" collapsed="false">
      <c r="B33" s="29" t="s">
        <v>162</v>
      </c>
      <c r="C33" s="30" t="n">
        <f aca="false">'5-Year Projection'!G35</f>
        <v>1353957.22181448</v>
      </c>
    </row>
    <row r="34" customFormat="false" ht="15" hidden="false" customHeight="false" outlineLevel="0" collapsed="false">
      <c r="B34" s="13" t="s">
        <v>163</v>
      </c>
      <c r="C34" s="14" t="n">
        <f aca="false">'5-Year Projection'!G33</f>
        <v>1442859.71209534</v>
      </c>
    </row>
    <row r="35" customFormat="false" ht="15" hidden="false" customHeight="false" outlineLevel="0" collapsed="false">
      <c r="B35" s="19" t="s">
        <v>164</v>
      </c>
      <c r="C35" s="20" t="n">
        <f aca="false">'5-Year Projection'!G36</f>
        <v>2796816.93390982</v>
      </c>
    </row>
    <row r="37" customFormat="false" ht="15" hidden="false" customHeight="false" outlineLevel="0" collapsed="false">
      <c r="B37" s="26" t="s">
        <v>165</v>
      </c>
      <c r="C37" s="27"/>
    </row>
    <row r="38" customFormat="false" ht="15" hidden="false" customHeight="false" outlineLevel="0" collapsed="false">
      <c r="B38" s="29" t="s">
        <v>166</v>
      </c>
    </row>
    <row r="39" customFormat="false" ht="15" hidden="false" customHeight="false" outlineLevel="0" collapsed="false">
      <c r="B39" s="5" t="s">
        <v>167</v>
      </c>
    </row>
    <row r="40" customFormat="false" ht="15" hidden="false" customHeight="false" outlineLevel="0" collapsed="false">
      <c r="B40" s="5" t="s">
        <v>168</v>
      </c>
    </row>
    <row r="41" customFormat="false" ht="15" hidden="false" customHeight="false" outlineLevel="0" collapsed="false">
      <c r="B41" s="13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2026-07-03T08:04:59Z</dcterms:created>
  <dc:creator>openpyxl</dc:creator>
  <dc:description/>
  <dc:language>en-US</dc:language>
  <cp:lastModifiedBy/>
  <dcterms:modified xsi:type="dcterms:W3CDTF">2026-07-03T08:04:59Z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