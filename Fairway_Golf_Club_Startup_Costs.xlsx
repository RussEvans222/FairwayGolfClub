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up Cost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2A4A"/>
      <sz val="16"/>
    </font>
    <font>
      <name val="Arial"/>
      <charset val="1"/>
      <family val="0"/>
      <i val="1"/>
      <color rgb="FF2D6A4F"/>
      <sz val="12"/>
    </font>
    <font>
      <name val="Arial"/>
      <charset val="1"/>
      <family val="0"/>
      <i val="1"/>
      <color rgb="FF64748B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D6A4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B2A4A"/>
      <sz val="12"/>
    </font>
    <font>
      <name val="Arial"/>
      <charset val="1"/>
      <family val="0"/>
      <i val="1"/>
      <color rgb="FF64748B"/>
      <sz val="9"/>
    </font>
    <font>
      <b val="1"/>
      <sz val="10"/>
    </font>
    <font>
      <sz val="10"/>
    </font>
  </fonts>
  <fills count="5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3DC"/>
        <bgColor rgb="FFE8F5E9"/>
      </patternFill>
    </fill>
    <fill>
      <patternFill patternType="solid">
        <fgColor rgb="FFE8F5E9"/>
        <bgColor rgb="FFFFF3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14" fillId="0" borderId="0" pivotButton="0" quotePrefix="0" xfId="0"/>
    <xf numFmtId="0" fontId="15" fillId="0" borderId="0" pivotButton="0" quotePrefix="0" xfId="0"/>
    <xf numFmtId="0" fontId="11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3D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15" min="1" max="1"/>
    <col width="14" customWidth="1" style="15" min="2" max="3"/>
    <col width="4" customWidth="1" style="15" min="4" max="4"/>
    <col width="38" customWidth="1" style="15" min="5" max="5"/>
    <col width="14" customWidth="1" style="15" min="6" max="7"/>
  </cols>
  <sheetData>
    <row r="1" ht="19.7" customHeight="1" s="16">
      <c r="A1" s="17" t="inlineStr">
        <is>
          <t>Startup Costs — Fairway Golf Club</t>
        </is>
      </c>
    </row>
    <row r="2" ht="15" customHeight="1" s="16">
      <c r="A2" s="18" t="inlineStr">
        <is>
          <t>Phase 1: 2 Bays | Workhouse Arts Center, Lorton VA</t>
        </is>
      </c>
    </row>
    <row r="3" ht="15" customHeight="1" s="16">
      <c r="A3" s="19" t="inlineStr">
        <is>
          <t>Enter your actual costs in the "Actual" column as you finalize vendors and pricing.</t>
        </is>
      </c>
    </row>
    <row r="4"/>
    <row r="5" ht="15" customHeight="1" s="16">
      <c r="A5" s="20" t="inlineStr">
        <is>
          <t>ONE-TIME EXPENSES</t>
        </is>
      </c>
      <c r="B5" s="20" t="inlineStr">
        <is>
          <t>Budget</t>
        </is>
      </c>
      <c r="C5" s="20" t="inlineStr">
        <is>
          <t>Actual</t>
        </is>
      </c>
      <c r="E5" s="20" t="inlineStr">
        <is>
          <t>MONTHLY EXPENSES</t>
        </is>
      </c>
      <c r="F5" s="20" t="inlineStr">
        <is>
          <t>Budget</t>
        </is>
      </c>
      <c r="G5" s="20" t="inlineStr">
        <is>
          <t>Actual</t>
        </is>
      </c>
    </row>
    <row r="6"/>
    <row r="7" ht="15" customHeight="1" s="16">
      <c r="A7" s="21" t="inlineStr">
        <is>
          <t>Rent &amp; Space</t>
        </is>
      </c>
      <c r="B7" s="22" t="n"/>
      <c r="C7" s="22" t="n"/>
      <c r="E7" s="21" t="inlineStr">
        <is>
          <t>Rent &amp; Occupancy</t>
        </is>
      </c>
      <c r="F7" s="22" t="n"/>
      <c r="G7" s="22" t="n"/>
    </row>
    <row r="8" ht="15" customHeight="1" s="16">
      <c r="A8" s="23" t="inlineStr">
        <is>
          <t>Security deposit</t>
        </is>
      </c>
      <c r="B8" s="24" t="n">
        <v>5000</v>
      </c>
      <c r="C8" s="25" t="n"/>
      <c r="E8" s="23" t="inlineStr">
        <is>
          <t>Monthly rent</t>
        </is>
      </c>
      <c r="F8" s="24" t="n">
        <v>3500</v>
      </c>
      <c r="G8" s="25" t="n"/>
    </row>
    <row r="9" ht="15" customHeight="1" s="16">
      <c r="A9" s="23" t="inlineStr">
        <is>
          <t>First month rent</t>
        </is>
      </c>
      <c r="B9" s="24" t="n">
        <v>3500</v>
      </c>
      <c r="C9" s="25" t="n"/>
      <c r="E9" s="23" t="inlineStr">
        <is>
          <t>Utilities (electric, water, internet)</t>
        </is>
      </c>
      <c r="F9" s="24" t="n">
        <v>800</v>
      </c>
      <c r="G9" s="25" t="n"/>
    </row>
    <row r="10" ht="15" customHeight="1" s="16">
      <c r="A10" s="23" t="inlineStr">
        <is>
          <t>Build-out / renovation</t>
        </is>
      </c>
      <c r="B10" s="24" t="n">
        <v>45000</v>
      </c>
      <c r="C10" s="25" t="n"/>
      <c r="E10" s="23" t="inlineStr">
        <is>
          <t>Property insurance (monthly portion)</t>
        </is>
      </c>
      <c r="F10" s="24" t="n">
        <v>250</v>
      </c>
      <c r="G10" s="25" t="n"/>
    </row>
    <row r="11" ht="15" customHeight="1" s="16">
      <c r="A11" s="23" t="inlineStr">
        <is>
          <t>Acoustic treatment (DIY)</t>
        </is>
      </c>
      <c r="B11" s="24" t="n">
        <v>3000</v>
      </c>
      <c r="C11" s="25" t="n"/>
      <c r="E11" s="21" t="inlineStr">
        <is>
          <t>Employees</t>
        </is>
      </c>
      <c r="F11" s="22" t="n"/>
      <c r="G11" s="22" t="n"/>
    </row>
    <row r="12" ht="15" customHeight="1" s="16">
      <c r="A12" s="23" t="inlineStr">
        <is>
          <t>Flooring (hitting area + lounge)</t>
        </is>
      </c>
      <c r="B12" s="24" t="n">
        <v>5000</v>
      </c>
      <c r="C12" s="25" t="n"/>
      <c r="E12" s="23" t="inlineStr">
        <is>
          <t>Part-time staff (2x, 20hrs/wk each)</t>
        </is>
      </c>
      <c r="F12" s="24" t="n">
        <v>3200</v>
      </c>
      <c r="G12" s="25" t="n"/>
    </row>
    <row r="13" ht="15" customHeight="1" s="16">
      <c r="A13" s="23" t="inlineStr">
        <is>
          <t>Lighting (amber LEDs, pendants)</t>
        </is>
      </c>
      <c r="B13" s="24" t="n">
        <v>3500</v>
      </c>
      <c r="C13" s="25" t="n"/>
      <c r="E13" s="23" t="inlineStr">
        <is>
          <t>Payroll taxes (employer portion)</t>
        </is>
      </c>
      <c r="F13" s="24" t="n">
        <v>400</v>
      </c>
      <c r="G13" s="25" t="n"/>
    </row>
    <row r="14" ht="15" customHeight="1" s="16">
      <c r="A14" s="23" t="inlineStr">
        <is>
          <t>Plumbing/electrical upgrades</t>
        </is>
      </c>
      <c r="B14" s="24" t="n">
        <v>8000</v>
      </c>
      <c r="C14" s="25" t="n"/>
      <c r="E14" s="21" t="inlineStr">
        <is>
          <t>Technology &amp; Software</t>
        </is>
      </c>
      <c r="F14" s="22" t="n"/>
      <c r="G14" s="22" t="n"/>
    </row>
    <row r="15" ht="15" customHeight="1" s="16">
      <c r="A15" s="21" t="inlineStr">
        <is>
          <t>Simulators &amp; Equipment</t>
        </is>
      </c>
      <c r="B15" s="22" t="n"/>
      <c r="C15" s="22" t="n"/>
      <c r="E15" s="23" t="inlineStr">
        <is>
          <t>Salesforce licenses (CRM + Data Cloud)</t>
        </is>
      </c>
      <c r="F15" s="24" t="n">
        <v>500</v>
      </c>
      <c r="G15" s="25" t="n"/>
    </row>
    <row r="16" ht="15" customHeight="1" s="16">
      <c r="A16" s="23" t="inlineStr">
        <is>
          <t>Simulator units (2x premium)</t>
        </is>
      </c>
      <c r="B16" s="24" t="n">
        <v>50000</v>
      </c>
      <c r="C16" s="25" t="n"/>
      <c r="E16" s="23" t="inlineStr">
        <is>
          <t>Simulator software subscriptions</t>
        </is>
      </c>
      <c r="F16" s="24" t="n">
        <v>200</v>
      </c>
      <c r="G16" s="25" t="n"/>
    </row>
    <row r="17" ht="15" customHeight="1" s="16">
      <c r="A17" s="23" t="inlineStr">
        <is>
          <t>Launch monitors (2x)</t>
        </is>
      </c>
      <c r="B17" s="24" t="n">
        <v>8000</v>
      </c>
      <c r="C17" s="25" t="n"/>
      <c r="E17" s="23" t="inlineStr">
        <is>
          <t>Internet/networking</t>
        </is>
      </c>
      <c r="F17" s="24" t="n">
        <v>150</v>
      </c>
      <c r="G17" s="25" t="n"/>
    </row>
    <row r="18" ht="15" customHeight="1" s="16">
      <c r="A18" s="23" t="inlineStr">
        <is>
          <t>Hitting mats (premium turf, 2x)</t>
        </is>
      </c>
      <c r="B18" s="24" t="n">
        <v>2000</v>
      </c>
      <c r="C18" s="25" t="n"/>
      <c r="E18" s="21" t="inlineStr">
        <is>
          <t>Loan Payments</t>
        </is>
      </c>
      <c r="F18" s="22" t="n"/>
      <c r="G18" s="22" t="n"/>
    </row>
    <row r="19" ht="15" customHeight="1" s="16">
      <c r="A19" s="23" t="inlineStr">
        <is>
          <t>Impact screens (2x)</t>
        </is>
      </c>
      <c r="B19" s="24" t="n">
        <v>3000</v>
      </c>
      <c r="C19" s="25" t="n"/>
      <c r="E19" s="23" t="inlineStr">
        <is>
          <t>Equipment loan ($75K @ 8%, 5yr)</t>
        </is>
      </c>
      <c r="F19" s="24" t="n">
        <v>1520</v>
      </c>
      <c r="G19" s="25" t="n"/>
    </row>
    <row r="20" ht="15" customHeight="1" s="16">
      <c r="A20" s="23" t="inlineStr">
        <is>
          <t>Auto ball return systems (2x)</t>
        </is>
      </c>
      <c r="B20" s="24" t="n">
        <v>4000</v>
      </c>
      <c r="C20" s="25" t="n"/>
      <c r="E20" s="23" t="inlineStr">
        <is>
          <t>Investor note payments (8% on $75K)</t>
        </is>
      </c>
      <c r="F20" s="24" t="n">
        <v>500</v>
      </c>
      <c r="G20" s="25" t="n"/>
    </row>
    <row r="21" ht="15" customHeight="1" s="16">
      <c r="A21" s="23" t="inlineStr">
        <is>
          <t>Projectors (2x short-throw)</t>
        </is>
      </c>
      <c r="B21" s="24" t="n">
        <v>3000</v>
      </c>
      <c r="C21" s="25" t="n"/>
      <c r="E21" s="21" t="inlineStr">
        <is>
          <t>Marketing</t>
        </is>
      </c>
      <c r="F21" s="22" t="n"/>
      <c r="G21" s="22" t="n"/>
    </row>
    <row r="22" ht="15" customHeight="1" s="16">
      <c r="A22" s="21" t="inlineStr">
        <is>
          <t>Furniture &amp; Fixtures</t>
        </is>
      </c>
      <c r="B22" s="22" t="n"/>
      <c r="C22" s="22" t="n"/>
      <c r="E22" s="23" t="inlineStr">
        <is>
          <t>Digital advertising (Google/Meta)</t>
        </is>
      </c>
      <c r="F22" s="24" t="n">
        <v>500</v>
      </c>
      <c r="G22" s="25" t="n"/>
    </row>
    <row r="23" ht="15" customHeight="1" s="16">
      <c r="A23" s="23" t="inlineStr">
        <is>
          <t>Bar top (live-edge butcher block)</t>
        </is>
      </c>
      <c r="B23" s="24" t="n">
        <v>2500</v>
      </c>
      <c r="C23" s="25" t="n"/>
      <c r="E23" s="23" t="inlineStr">
        <is>
          <t>Social media content/tools</t>
        </is>
      </c>
      <c r="F23" s="24" t="n">
        <v>100</v>
      </c>
      <c r="G23" s="25" t="n"/>
    </row>
    <row r="24" ht="15" customHeight="1" s="16">
      <c r="A24" s="23" t="inlineStr">
        <is>
          <t>Bar stools (4x)</t>
        </is>
      </c>
      <c r="B24" s="24" t="n">
        <v>1200</v>
      </c>
      <c r="C24" s="25" t="n"/>
      <c r="E24" s="23" t="inlineStr">
        <is>
          <t>Promotional materials</t>
        </is>
      </c>
      <c r="F24" s="24" t="n">
        <v>150</v>
      </c>
      <c r="G24" s="25" t="n"/>
    </row>
    <row r="25" ht="15" customHeight="1" s="16">
      <c r="A25" s="23" t="inlineStr">
        <is>
          <t>Lounge seating (leather chairs)</t>
        </is>
      </c>
      <c r="B25" s="24" t="n">
        <v>3000</v>
      </c>
      <c r="C25" s="25" t="n"/>
      <c r="E25" s="21" t="inlineStr">
        <is>
          <t>Supplies &amp; Inventory</t>
        </is>
      </c>
      <c r="F25" s="22" t="n"/>
      <c r="G25" s="22" t="n"/>
    </row>
    <row r="26" ht="15" customHeight="1" s="16">
      <c r="A26" s="23" t="inlineStr">
        <is>
          <t>Reception desk (walnut veneer)</t>
        </is>
      </c>
      <c r="B26" s="24" t="n">
        <v>1500</v>
      </c>
      <c r="C26" s="25" t="n"/>
      <c r="E26" s="23" t="inlineStr">
        <is>
          <t>Beer inventory (restocking)</t>
        </is>
      </c>
      <c r="F26" s="24" t="n">
        <v>1200</v>
      </c>
      <c r="G26" s="25" t="n"/>
    </row>
    <row r="27" ht="15" customHeight="1" s="16">
      <c r="A27" s="23" t="inlineStr">
        <is>
          <t>Shelving &amp; display (merch wall)</t>
        </is>
      </c>
      <c r="B27" s="24" t="n">
        <v>1000</v>
      </c>
      <c r="C27" s="25" t="n"/>
      <c r="E27" s="23" t="inlineStr">
        <is>
          <t>Cleaning supplies</t>
        </is>
      </c>
      <c r="F27" s="24" t="n">
        <v>100</v>
      </c>
      <c r="G27" s="25" t="n"/>
    </row>
    <row r="28" ht="15" customHeight="1" s="16">
      <c r="A28" s="23" t="inlineStr">
        <is>
          <t>TV/monitors (3x: lounge, bays)</t>
        </is>
      </c>
      <c r="B28" s="24" t="n">
        <v>2000</v>
      </c>
      <c r="C28" s="25" t="n"/>
      <c r="E28" s="23" t="inlineStr">
        <is>
          <t>Office/operational supplies</t>
        </is>
      </c>
      <c r="F28" s="24" t="n">
        <v>100</v>
      </c>
      <c r="G28" s="25" t="n"/>
    </row>
    <row r="29" ht="15" customHeight="1" s="16">
      <c r="A29" s="21" t="inlineStr">
        <is>
          <t>Technology</t>
        </is>
      </c>
      <c r="B29" s="22" t="n"/>
      <c r="C29" s="22" t="n"/>
      <c r="E29" s="23" t="inlineStr">
        <is>
          <t>Merch inventory (restock)</t>
        </is>
      </c>
      <c r="F29" s="24" t="n">
        <v>500</v>
      </c>
      <c r="G29" s="25" t="n"/>
    </row>
    <row r="30" ht="15" customHeight="1" s="16">
      <c r="A30" s="23" t="inlineStr">
        <is>
          <t>iPads (2x: check-in + mobile)</t>
        </is>
      </c>
      <c r="B30" s="24" t="n">
        <v>2000</v>
      </c>
      <c r="C30" s="25" t="n"/>
      <c r="E30" s="21" t="inlineStr">
        <is>
          <t>Professional Services</t>
        </is>
      </c>
      <c r="F30" s="22" t="n"/>
      <c r="G30" s="22" t="n"/>
    </row>
    <row r="31" ht="15" customHeight="1" s="16">
      <c r="A31" s="23" t="inlineStr">
        <is>
          <t>Networking/WiFi equipment</t>
        </is>
      </c>
      <c r="B31" s="24" t="n">
        <v>1500</v>
      </c>
      <c r="C31" s="25" t="n"/>
      <c r="E31" s="23" t="inlineStr">
        <is>
          <t>Accounting/bookkeeping</t>
        </is>
      </c>
      <c r="F31" s="24" t="n">
        <v>300</v>
      </c>
      <c r="G31" s="25" t="n"/>
    </row>
    <row r="32" ht="15" customHeight="1" s="16">
      <c r="A32" s="23" t="inlineStr">
        <is>
          <t>POS system (hardware)</t>
        </is>
      </c>
      <c r="B32" s="24" t="n">
        <v>800</v>
      </c>
      <c r="C32" s="25" t="n"/>
      <c r="E32" s="21" t="inlineStr">
        <is>
          <t>Miscellaneous</t>
        </is>
      </c>
      <c r="F32" s="22" t="n"/>
      <c r="G32" s="22" t="n"/>
    </row>
    <row r="33" ht="15" customHeight="1" s="16">
      <c r="A33" s="23" t="inlineStr">
        <is>
          <t>Salesforce setup (licenses)</t>
        </is>
      </c>
      <c r="B33" s="24" t="n">
        <v>3000</v>
      </c>
      <c r="C33" s="25" t="n"/>
      <c r="E33" s="23" t="inlineStr">
        <is>
          <t>Repairs &amp; maintenance reserve</t>
        </is>
      </c>
      <c r="F33" s="24" t="n">
        <v>300</v>
      </c>
      <c r="G33" s="25" t="n"/>
    </row>
    <row r="34" ht="15" customHeight="1" s="16">
      <c r="A34" s="23" t="inlineStr">
        <is>
          <t>Bay automation (IoT sensors, relays)</t>
        </is>
      </c>
      <c r="B34" s="24" t="n">
        <v>2000</v>
      </c>
      <c r="C34" s="25" t="n"/>
      <c r="E34" s="23" t="inlineStr">
        <is>
          <t>Miscellaneous/contingency</t>
        </is>
      </c>
      <c r="F34" s="24" t="n">
        <v>500</v>
      </c>
      <c r="G34" s="25" t="n"/>
    </row>
    <row r="35" ht="15" customHeight="1" s="16">
      <c r="A35" s="21" t="inlineStr">
        <is>
          <t>Beverage Setup</t>
        </is>
      </c>
      <c r="B35" s="22" t="n"/>
      <c r="C35" s="22" t="n"/>
    </row>
    <row r="36" ht="15" customHeight="1" s="16">
      <c r="A36" s="23" t="inlineStr">
        <is>
          <t>Draft system (4-tap, lines, CO2)</t>
        </is>
      </c>
      <c r="B36" s="24" t="n">
        <v>3000</v>
      </c>
      <c r="C36" s="25" t="n"/>
    </row>
    <row r="37" ht="15" customHeight="1" s="16">
      <c r="A37" s="23" t="inlineStr">
        <is>
          <t>Glassware &amp; bar accessories</t>
        </is>
      </c>
      <c r="B37" s="24" t="n">
        <v>800</v>
      </c>
      <c r="C37" s="25" t="n"/>
    </row>
    <row r="38" ht="15" customHeight="1" s="16">
      <c r="A38" s="23" t="inlineStr">
        <is>
          <t>Initial beer inventory</t>
        </is>
      </c>
      <c r="B38" s="24" t="n">
        <v>1500</v>
      </c>
      <c r="C38" s="25" t="n"/>
    </row>
    <row r="39" ht="15" customHeight="1" s="16">
      <c r="A39" s="21" t="inlineStr">
        <is>
          <t>Fairway Mobile Unit</t>
        </is>
      </c>
      <c r="B39" s="22" t="n"/>
      <c r="C39" s="22" t="n"/>
    </row>
    <row r="40" ht="15" customHeight="1" s="16">
      <c r="A40" s="23" t="inlineStr">
        <is>
          <t>Portable simulator</t>
        </is>
      </c>
      <c r="B40" s="24" t="n">
        <v>2000</v>
      </c>
      <c r="C40" s="25" t="n"/>
    </row>
    <row r="41" ht="15" customHeight="1" s="16">
      <c r="A41" s="23" t="inlineStr">
        <is>
          <t>Inflatable enclosure + pump</t>
        </is>
      </c>
      <c r="B41" s="24" t="n">
        <v>2000</v>
      </c>
      <c r="C41" s="25" t="n"/>
    </row>
    <row r="42" ht="15" customHeight="1" s="16">
      <c r="A42" s="23" t="inlineStr">
        <is>
          <t>Projector + impact shield</t>
        </is>
      </c>
      <c r="B42" s="24" t="n">
        <v>500</v>
      </c>
      <c r="C42" s="25" t="n"/>
    </row>
    <row r="43" ht="15" customHeight="1" s="16">
      <c r="A43" s="23" t="inlineStr">
        <is>
          <t>Hitting mat (portable)</t>
        </is>
      </c>
      <c r="B43" s="24" t="n">
        <v>300</v>
      </c>
      <c r="C43" s="25" t="n"/>
    </row>
    <row r="44" ht="15" customHeight="1" s="16">
      <c r="A44" s="23" t="inlineStr">
        <is>
          <t>Vehicle wrap/branding</t>
        </is>
      </c>
      <c r="B44" s="24" t="n">
        <v>1500</v>
      </c>
      <c r="C44" s="25" t="n"/>
    </row>
    <row r="45" ht="15" customHeight="1" s="16">
      <c r="A45" s="21" t="inlineStr">
        <is>
          <t>Legal &amp; Admin</t>
        </is>
      </c>
      <c r="B45" s="22" t="n"/>
      <c r="C45" s="22" t="n"/>
    </row>
    <row r="46" ht="15" customHeight="1" s="16">
      <c r="A46" s="23" t="inlineStr">
        <is>
          <t>LLC formation (Virginia)</t>
        </is>
      </c>
      <c r="B46" s="24" t="n">
        <v>100</v>
      </c>
      <c r="C46" s="25" t="n"/>
    </row>
    <row r="47" ht="15" customHeight="1" s="16">
      <c r="A47" s="23" t="inlineStr">
        <is>
          <t>Virginia ABC license</t>
        </is>
      </c>
      <c r="B47" s="24" t="n">
        <v>500</v>
      </c>
      <c r="C47" s="25" t="n"/>
    </row>
    <row r="48" ht="15" customHeight="1" s="16">
      <c r="A48" s="23" t="inlineStr">
        <is>
          <t>Business license (Fairfax Co.)</t>
        </is>
      </c>
      <c r="B48" s="24" t="n">
        <v>100</v>
      </c>
      <c r="C48" s="25" t="n"/>
    </row>
    <row r="49" ht="15" customHeight="1" s="16">
      <c r="A49" s="23" t="inlineStr">
        <is>
          <t>Insurance (first year GL)</t>
        </is>
      </c>
      <c r="B49" s="24" t="n">
        <v>3000</v>
      </c>
      <c r="C49" s="25" t="n"/>
    </row>
    <row r="50" ht="15" customHeight="1" s="16">
      <c r="A50" s="23" t="inlineStr">
        <is>
          <t>Legal fees (lease review, notes)</t>
        </is>
      </c>
      <c r="B50" s="24" t="n">
        <v>2000</v>
      </c>
      <c r="C50" s="25" t="n"/>
    </row>
    <row r="51" ht="15" customHeight="1" s="16">
      <c r="A51" s="23" t="inlineStr">
        <is>
          <t>Signage (exterior + interior)</t>
        </is>
      </c>
      <c r="B51" s="24" t="n">
        <v>3500</v>
      </c>
      <c r="C51" s="25" t="n"/>
    </row>
    <row r="52" ht="15" customHeight="1" s="16">
      <c r="A52" s="23" t="inlineStr">
        <is>
          <t>State trademark filing</t>
        </is>
      </c>
      <c r="B52" s="24" t="n">
        <v>30</v>
      </c>
      <c r="C52" s="25" t="n"/>
    </row>
    <row r="53" ht="15" customHeight="1" s="16">
      <c r="A53" s="23" t="inlineStr">
        <is>
          <t>Federal USPTO ITU filing</t>
        </is>
      </c>
      <c r="B53" s="24" t="n">
        <v>350</v>
      </c>
      <c r="C53" s="25" t="n"/>
    </row>
    <row r="54" ht="15" customHeight="1" s="16">
      <c r="A54" s="26" t="inlineStr">
        <is>
          <t>Pre-Opening &amp; Overlooked Costs</t>
        </is>
      </c>
    </row>
    <row r="55" ht="15" customHeight="1" s="16">
      <c r="A55" s="27" t="inlineStr">
        <is>
          <t>Construction overrun buffer (20%)</t>
        </is>
      </c>
      <c r="B55" s="27" t="n">
        <v>9000</v>
      </c>
    </row>
    <row r="56">
      <c r="A56" s="27" t="inlineStr">
        <is>
          <t>Junk removal / debris haul-out</t>
        </is>
      </c>
      <c r="B56" s="27" t="n">
        <v>1200</v>
      </c>
    </row>
    <row r="57" ht="15" customHeight="1" s="16">
      <c r="A57" s="27" t="inlineStr">
        <is>
          <t>ADA compliance upgrades</t>
        </is>
      </c>
      <c r="B57" s="27" t="n">
        <v>6500</v>
      </c>
    </row>
    <row r="58">
      <c r="A58" s="27" t="inlineStr">
        <is>
          <t>Fire suppression / sprinkler tie-in</t>
        </is>
      </c>
      <c r="B58" s="27" t="n">
        <v>3000</v>
      </c>
    </row>
    <row r="59" ht="15" customHeight="1" s="16">
      <c r="A59" s="27" t="inlineStr">
        <is>
          <t>IT / data cabling (structured wiring)</t>
        </is>
      </c>
      <c r="B59" s="27" t="n">
        <v>2250</v>
      </c>
    </row>
    <row r="60" ht="15" customHeight="1" s="16">
      <c r="A60" s="27" t="inlineStr">
        <is>
          <t>Utility deposits (electric, gas, water)</t>
        </is>
      </c>
      <c r="B60" s="27" t="n">
        <v>2500</v>
      </c>
    </row>
    <row r="61">
      <c r="A61" s="27" t="inlineStr">
        <is>
          <t>Simulator delivery, rigging &amp; calibration</t>
        </is>
      </c>
      <c r="B61" s="27" t="n">
        <v>3500</v>
      </c>
    </row>
    <row r="62">
      <c r="A62" s="27" t="inlineStr">
        <is>
          <t>Equipment price buffer (5% on tech/sims)</t>
        </is>
      </c>
      <c r="B62" s="27" t="n">
        <v>3200</v>
      </c>
    </row>
    <row r="63">
      <c r="A63" s="27" t="inlineStr">
        <is>
          <t>Music licensing — BMI / ASCAP (Year 1)</t>
        </is>
      </c>
      <c r="B63" s="27" t="n">
        <v>750</v>
      </c>
    </row>
    <row r="64">
      <c r="A64" s="27" t="inlineStr">
        <is>
          <t>Booking software (Year 1 annual)</t>
        </is>
      </c>
      <c r="B64" s="27" t="n">
        <v>1200</v>
      </c>
    </row>
    <row r="65">
      <c r="A65" s="27" t="inlineStr">
        <is>
          <t>Staff onboarding &amp; training</t>
        </is>
      </c>
      <c r="B65" s="27" t="n">
        <v>1500</v>
      </c>
    </row>
    <row r="66">
      <c r="A66" s="27" t="inlineStr">
        <is>
          <t>Grand opening event</t>
        </is>
      </c>
      <c r="B66" s="27" t="n">
        <v>3500</v>
      </c>
    </row>
    <row r="67">
      <c r="A67" s="27" t="inlineStr">
        <is>
          <t>Pre-opening photography &amp; marketing assets</t>
        </is>
      </c>
      <c r="B67" s="27" t="n">
        <v>2000</v>
      </c>
    </row>
    <row r="68">
      <c r="A68" s="27" t="inlineStr">
        <is>
          <t>Key fobs / access cards (100 units)</t>
        </is>
      </c>
      <c r="B68" s="27" t="n">
        <v>1000</v>
      </c>
    </row>
    <row r="69">
      <c r="A69" s="27" t="inlineStr">
        <is>
          <t>Opening merchandise (branded apparel)</t>
        </is>
      </c>
      <c r="B69" s="27" t="n">
        <v>2000</v>
      </c>
    </row>
    <row r="70">
      <c r="A70" s="27" t="inlineStr">
        <is>
          <t>Merchant processing setup</t>
        </is>
      </c>
      <c r="B70" s="27" t="n">
        <v>1000</v>
      </c>
    </row>
    <row r="71">
      <c r="A71" s="27" t="inlineStr">
        <is>
          <t>Health &amp; ABC inspection fees</t>
        </is>
      </c>
      <c r="B71" s="27" t="n">
        <v>550</v>
      </c>
    </row>
    <row r="72">
      <c r="A72" s="21" t="inlineStr">
        <is>
          <t>Working Capital Reserve</t>
        </is>
      </c>
      <c r="B72" s="22" t="n"/>
      <c r="C72" s="22" t="n"/>
    </row>
    <row r="73">
      <c r="A73" s="23" t="inlineStr">
        <is>
          <t>Operating cash reserve</t>
        </is>
      </c>
      <c r="B73" s="24" t="n">
        <v>10000</v>
      </c>
      <c r="C73" s="25" t="n"/>
    </row>
    <row r="74"/>
    <row r="75">
      <c r="A75" s="28" t="inlineStr">
        <is>
          <t>TOTAL ONE-TIME EXPENSES</t>
        </is>
      </c>
      <c r="B75" s="29">
        <f>SUM(B7:B73)</f>
        <v/>
      </c>
      <c r="C75" s="29">
        <f>SUM(C7:C73)</f>
        <v/>
      </c>
      <c r="E75" s="28" t="inlineStr">
        <is>
          <t>TOTAL MONTHLY EXPENSES</t>
        </is>
      </c>
      <c r="F75" s="29">
        <f>SUM(F7:F34)</f>
        <v/>
      </c>
      <c r="G75" s="29">
        <f>SUM(G7:G34)</f>
        <v/>
      </c>
    </row>
    <row r="76"/>
    <row r="77">
      <c r="A77" s="30" t="inlineStr">
        <is>
          <t>TOTAL FUNDS REQUIRED (One-Time + 3 Months Operating)</t>
        </is>
      </c>
      <c r="B77" s="31">
        <f>B75+(F75*3)</f>
        <v/>
      </c>
    </row>
    <row r="78">
      <c r="A78" s="32" t="inlineStr">
        <is>
          <t>(Includes 3 months of operating expenses as working capital)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2026-07-03T23:47:23Z</dcterms:created>
  <dcterms:modified xsi:type="dcterms:W3CDTF">2026-07-05T18:27:34Z</dcterms:modified>
  <cp:revision>0</cp:revision>
</cp:coreProperties>
</file>