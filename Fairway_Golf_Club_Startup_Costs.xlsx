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up Co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<sst xmlns="http://schemas.openxmlformats.org/spreadsheetml/2006/main" count="90" uniqueCount="88">
  <si>
    <t xml:space="preserve">Startup Costs — Fairway Golf Club</t>
  </si>
  <si>
    <t xml:space="preserve">Phase 1: 2 Bays | Workhouse Arts Center, Lorton VA</t>
  </si>
  <si>
    <t xml:space="preserve">Enter your actual costs in the "Actual" column as you finalize vendors and pricing.</t>
  </si>
  <si>
    <t xml:space="preserve">ONE-TIME EXPENSES</t>
  </si>
  <si>
    <t xml:space="preserve">Budget</t>
  </si>
  <si>
    <t xml:space="preserve">Actual</t>
  </si>
  <si>
    <t xml:space="preserve">MONTHLY EXPENSES</t>
  </si>
  <si>
    <t xml:space="preserve">Rent &amp; Space</t>
  </si>
  <si>
    <t xml:space="preserve">Rent &amp; Occupancy</t>
  </si>
  <si>
    <t xml:space="preserve">Security deposit</t>
  </si>
  <si>
    <t xml:space="preserve">Monthly rent</t>
  </si>
  <si>
    <t xml:space="preserve">First month rent</t>
  </si>
  <si>
    <t xml:space="preserve">Utilities (electric, water, internet)</t>
  </si>
  <si>
    <t xml:space="preserve">Build-out / renovation</t>
  </si>
  <si>
    <t xml:space="preserve">Property insurance (monthly portion)</t>
  </si>
  <si>
    <t xml:space="preserve">Acoustic treatment (DIY)</t>
  </si>
  <si>
    <t xml:space="preserve">Employees</t>
  </si>
  <si>
    <t xml:space="preserve">Flooring (hitting area + lounge)</t>
  </si>
  <si>
    <t xml:space="preserve">Part-time staff (2x, 20hrs/wk each)</t>
  </si>
  <si>
    <t xml:space="preserve">Lighting (amber LEDs, pendants)</t>
  </si>
  <si>
    <t xml:space="preserve">Payroll taxes (employer portion)</t>
  </si>
  <si>
    <t xml:space="preserve">Plumbing/electrical upgrades</t>
  </si>
  <si>
    <t xml:space="preserve">Technology &amp; Software</t>
  </si>
  <si>
    <t xml:space="preserve">Simulators &amp; Equipment</t>
  </si>
  <si>
    <t xml:space="preserve">Salesforce licenses (CRM + Data Cloud)</t>
  </si>
  <si>
    <t xml:space="preserve">Simulator units (2x premium)</t>
  </si>
  <si>
    <t xml:space="preserve">Simulator software subscriptions</t>
  </si>
  <si>
    <t xml:space="preserve">Launch monitors (2x)</t>
  </si>
  <si>
    <t xml:space="preserve">Internet/networking</t>
  </si>
  <si>
    <t xml:space="preserve">Hitting mats (premium turf, 2x)</t>
  </si>
  <si>
    <t xml:space="preserve">Loan Payments</t>
  </si>
  <si>
    <t xml:space="preserve">Impact screens (2x)</t>
  </si>
  <si>
    <t xml:space="preserve">Equipment loan ($75K @ 8%, 5yr)</t>
  </si>
  <si>
    <t xml:space="preserve">Auto ball return systems (2x)</t>
  </si>
  <si>
    <t xml:space="preserve">Investor note payments (8% on $75K)</t>
  </si>
  <si>
    <t xml:space="preserve">Projectors (2x short-throw)</t>
  </si>
  <si>
    <t xml:space="preserve">Marketing</t>
  </si>
  <si>
    <t xml:space="preserve">Furniture &amp; Fixtures</t>
  </si>
  <si>
    <t xml:space="preserve">Digital advertising (Google/Meta)</t>
  </si>
  <si>
    <t xml:space="preserve">Bar top (live-edge butcher block)</t>
  </si>
  <si>
    <t xml:space="preserve">Social media content/tools</t>
  </si>
  <si>
    <t xml:space="preserve">Bar stools (4x)</t>
  </si>
  <si>
    <t xml:space="preserve">Promotional materials</t>
  </si>
  <si>
    <t xml:space="preserve">Lounge seating (leather chairs)</t>
  </si>
  <si>
    <t xml:space="preserve">Supplies &amp; Inventory</t>
  </si>
  <si>
    <t xml:space="preserve">Reception desk (walnut veneer)</t>
  </si>
  <si>
    <t xml:space="preserve">Beer inventory (restocking)</t>
  </si>
  <si>
    <t xml:space="preserve">Shelving &amp; display (merch wall)</t>
  </si>
  <si>
    <t xml:space="preserve">Cleaning supplies</t>
  </si>
  <si>
    <t xml:space="preserve">TV/monitors (3x: lounge, bays)</t>
  </si>
  <si>
    <t xml:space="preserve">Office/operational supplies</t>
  </si>
  <si>
    <t xml:space="preserve">Technology</t>
  </si>
  <si>
    <t xml:space="preserve">Merch inventory (restock)</t>
  </si>
  <si>
    <t xml:space="preserve">iPads (2x: check-in + mobile)</t>
  </si>
  <si>
    <t xml:space="preserve">Professional Services</t>
  </si>
  <si>
    <t xml:space="preserve">Networking/WiFi equipment</t>
  </si>
  <si>
    <t xml:space="preserve">Accounting/bookkeeping</t>
  </si>
  <si>
    <t xml:space="preserve">POS system (hardware)</t>
  </si>
  <si>
    <t xml:space="preserve">Miscellaneous</t>
  </si>
  <si>
    <t xml:space="preserve">Salesforce setup (licenses)</t>
  </si>
  <si>
    <t xml:space="preserve">Repairs &amp; maintenance reserve</t>
  </si>
  <si>
    <t xml:space="preserve">Bay automation (IoT sensors, relays)</t>
  </si>
  <si>
    <t xml:space="preserve">Miscellaneous/contingency</t>
  </si>
  <si>
    <t xml:space="preserve">Beverage Setup</t>
  </si>
  <si>
    <t xml:space="preserve">Draft system (4-tap, lines, CO2)</t>
  </si>
  <si>
    <t xml:space="preserve">Glassware &amp; bar accessories</t>
  </si>
  <si>
    <t xml:space="preserve">Initial beer inventory</t>
  </si>
  <si>
    <t xml:space="preserve">Fairway Mobile Unit</t>
  </si>
  <si>
    <t xml:space="preserve">Portable simulator</t>
  </si>
  <si>
    <t xml:space="preserve">Inflatable enclosure + pump</t>
  </si>
  <si>
    <t xml:space="preserve">Projector + impact shield</t>
  </si>
  <si>
    <t xml:space="preserve">Hitting mat (portable)</t>
  </si>
  <si>
    <t xml:space="preserve">Vehicle wrap/branding</t>
  </si>
  <si>
    <t xml:space="preserve">Legal &amp; Admin</t>
  </si>
  <si>
    <t xml:space="preserve">LLC formation (Virginia)</t>
  </si>
  <si>
    <t xml:space="preserve">Virginia ABC license</t>
  </si>
  <si>
    <t xml:space="preserve">Business license (Fairfax Co.)</t>
  </si>
  <si>
    <t xml:space="preserve">Insurance (first year GL)</t>
  </si>
  <si>
    <t xml:space="preserve">Legal fees (lease review, notes)</t>
  </si>
  <si>
    <t xml:space="preserve">Signage (exterior + interior)</t>
  </si>
  <si>
    <t xml:space="preserve">State trademark filing</t>
  </si>
  <si>
    <t xml:space="preserve">Federal USPTO ITU filing</t>
  </si>
  <si>
    <t xml:space="preserve">Working Capital Reserve</t>
  </si>
  <si>
    <t xml:space="preserve">Operating cash reserve</t>
  </si>
  <si>
    <t xml:space="preserve">TOTAL ONE-TIME EXPENSES</t>
  </si>
  <si>
    <t xml:space="preserve">TOTAL MONTHLY EXPENSES</t>
  </si>
  <si>
    <t xml:space="preserve">TOTAL FUNDS REQUIRED (One-Time + 3 Months Operating)</t>
  </si>
  <si>
    <t xml:space="preserve">(Includes 3 months of operating expenses as working capital)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</si>
</sst>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2"/>
      <color rgb="FF2D6A4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D6A4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3DC"/>
        <bgColor rgb="FFE8F5E9"/>
      </patternFill>
    </fill>
    <fill>
      <patternFill patternType="solid">
        <fgColor rgb="FFE8F5E9"/>
        <bgColor rgb="FFFFF3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3D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38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E5" s="4" t="s">
        <v>6</v>
      </c>
      <c r="F5" s="4" t="s">
        <v>4</v>
      </c>
      <c r="G5" s="4" t="s">
        <v>5</v>
      </c>
    </row>
    <row r="7" customFormat="false" ht="15" hidden="false" customHeight="false" outlineLevel="0" collapsed="false">
      <c r="A7" s="5" t="s">
        <v>7</v>
      </c>
      <c r="B7" s="6"/>
      <c r="C7" s="6"/>
      <c r="E7" s="5" t="s">
        <v>8</v>
      </c>
      <c r="F7" s="6"/>
      <c r="G7" s="6"/>
    </row>
    <row r="8" customFormat="false" ht="15" hidden="false" customHeight="false" outlineLevel="0" collapsed="false">
      <c r="A8" s="7" t="s">
        <v>9</v>
      </c>
      <c r="B8" s="8" t="n">
        <v>5000</v>
      </c>
      <c r="C8" s="9"/>
      <c r="E8" s="7" t="s">
        <v>10</v>
      </c>
      <c r="F8" s="8" t="n">
        <v>3500</v>
      </c>
      <c r="G8" s="9"/>
    </row>
    <row r="9" customFormat="false" ht="15" hidden="false" customHeight="false" outlineLevel="0" collapsed="false">
      <c r="A9" s="7" t="s">
        <v>11</v>
      </c>
      <c r="B9" s="8" t="n">
        <v>3500</v>
      </c>
      <c r="C9" s="9"/>
      <c r="E9" s="7" t="s">
        <v>12</v>
      </c>
      <c r="F9" s="8" t="n">
        <v>800</v>
      </c>
      <c r="G9" s="9"/>
    </row>
    <row r="10" customFormat="false" ht="15" hidden="false" customHeight="false" outlineLevel="0" collapsed="false">
      <c r="A10" s="7" t="s">
        <v>13</v>
      </c>
      <c r="B10" s="8" t="n">
        <v>45000</v>
      </c>
      <c r="C10" s="9"/>
      <c r="E10" s="7" t="s">
        <v>14</v>
      </c>
      <c r="F10" s="8" t="n">
        <v>250</v>
      </c>
      <c r="G10" s="9"/>
    </row>
    <row r="11" customFormat="false" ht="15" hidden="false" customHeight="false" outlineLevel="0" collapsed="false">
      <c r="A11" s="7" t="s">
        <v>15</v>
      </c>
      <c r="B11" s="8" t="n">
        <v>3000</v>
      </c>
      <c r="C11" s="9"/>
      <c r="E11" s="5" t="s">
        <v>16</v>
      </c>
      <c r="F11" s="6"/>
      <c r="G11" s="6"/>
    </row>
    <row r="12" customFormat="false" ht="15" hidden="false" customHeight="false" outlineLevel="0" collapsed="false">
      <c r="A12" s="7" t="s">
        <v>17</v>
      </c>
      <c r="B12" s="8" t="n">
        <v>5000</v>
      </c>
      <c r="C12" s="9"/>
      <c r="E12" s="7" t="s">
        <v>18</v>
      </c>
      <c r="F12" s="8" t="n">
        <v>3200</v>
      </c>
      <c r="G12" s="9"/>
    </row>
    <row r="13" customFormat="false" ht="15" hidden="false" customHeight="false" outlineLevel="0" collapsed="false">
      <c r="A13" s="7" t="s">
        <v>19</v>
      </c>
      <c r="B13" s="8" t="n">
        <v>3500</v>
      </c>
      <c r="C13" s="9"/>
      <c r="E13" s="7" t="s">
        <v>20</v>
      </c>
      <c r="F13" s="8" t="n">
        <v>400</v>
      </c>
      <c r="G13" s="9"/>
    </row>
    <row r="14" customFormat="false" ht="15" hidden="false" customHeight="false" outlineLevel="0" collapsed="false">
      <c r="A14" s="7" t="s">
        <v>21</v>
      </c>
      <c r="B14" s="8" t="n">
        <v>8000</v>
      </c>
      <c r="C14" s="9"/>
      <c r="E14" s="5" t="s">
        <v>22</v>
      </c>
      <c r="F14" s="6"/>
      <c r="G14" s="6"/>
    </row>
    <row r="15" customFormat="false" ht="15" hidden="false" customHeight="false" outlineLevel="0" collapsed="false">
      <c r="A15" s="5" t="s">
        <v>23</v>
      </c>
      <c r="B15" s="6"/>
      <c r="C15" s="6"/>
      <c r="E15" s="7" t="s">
        <v>24</v>
      </c>
      <c r="F15" s="8" t="n">
        <v>500</v>
      </c>
      <c r="G15" s="9"/>
    </row>
    <row r="16" customFormat="false" ht="15" hidden="false" customHeight="false" outlineLevel="0" collapsed="false">
      <c r="A16" s="7" t="s">
        <v>25</v>
      </c>
      <c r="B16" s="8" t="n">
        <v>50000</v>
      </c>
      <c r="C16" s="9"/>
      <c r="E16" s="7" t="s">
        <v>26</v>
      </c>
      <c r="F16" s="8" t="n">
        <v>200</v>
      </c>
      <c r="G16" s="9"/>
    </row>
    <row r="17" customFormat="false" ht="15" hidden="false" customHeight="false" outlineLevel="0" collapsed="false">
      <c r="A17" s="7" t="s">
        <v>27</v>
      </c>
      <c r="B17" s="8" t="n">
        <v>8000</v>
      </c>
      <c r="C17" s="9"/>
      <c r="E17" s="7" t="s">
        <v>28</v>
      </c>
      <c r="F17" s="8" t="n">
        <v>150</v>
      </c>
      <c r="G17" s="9"/>
    </row>
    <row r="18" customFormat="false" ht="15" hidden="false" customHeight="false" outlineLevel="0" collapsed="false">
      <c r="A18" s="7" t="s">
        <v>29</v>
      </c>
      <c r="B18" s="8" t="n">
        <v>2000</v>
      </c>
      <c r="C18" s="9"/>
      <c r="E18" s="5" t="s">
        <v>30</v>
      </c>
      <c r="F18" s="6"/>
      <c r="G18" s="6"/>
    </row>
    <row r="19" customFormat="false" ht="15" hidden="false" customHeight="false" outlineLevel="0" collapsed="false">
      <c r="A19" s="7" t="s">
        <v>31</v>
      </c>
      <c r="B19" s="8" t="n">
        <v>3000</v>
      </c>
      <c r="C19" s="9"/>
      <c r="E19" s="7" t="s">
        <v>32</v>
      </c>
      <c r="F19" s="8" t="n">
        <v>1520</v>
      </c>
      <c r="G19" s="9"/>
    </row>
    <row r="20" customFormat="false" ht="15" hidden="false" customHeight="false" outlineLevel="0" collapsed="false">
      <c r="A20" s="7" t="s">
        <v>33</v>
      </c>
      <c r="B20" s="8" t="n">
        <v>4000</v>
      </c>
      <c r="C20" s="9"/>
      <c r="E20" s="7" t="s">
        <v>34</v>
      </c>
      <c r="F20" s="8" t="n">
        <v>500</v>
      </c>
      <c r="G20" s="9"/>
    </row>
    <row r="21" customFormat="false" ht="15" hidden="false" customHeight="false" outlineLevel="0" collapsed="false">
      <c r="A21" s="7" t="s">
        <v>35</v>
      </c>
      <c r="B21" s="8" t="n">
        <v>3000</v>
      </c>
      <c r="C21" s="9"/>
      <c r="E21" s="5" t="s">
        <v>36</v>
      </c>
      <c r="F21" s="6"/>
      <c r="G21" s="6"/>
    </row>
    <row r="22" customFormat="false" ht="15" hidden="false" customHeight="false" outlineLevel="0" collapsed="false">
      <c r="A22" s="5" t="s">
        <v>37</v>
      </c>
      <c r="B22" s="6"/>
      <c r="C22" s="6"/>
      <c r="E22" s="7" t="s">
        <v>38</v>
      </c>
      <c r="F22" s="8" t="n">
        <v>500</v>
      </c>
      <c r="G22" s="9"/>
    </row>
    <row r="23" customFormat="false" ht="15" hidden="false" customHeight="false" outlineLevel="0" collapsed="false">
      <c r="A23" s="7" t="s">
        <v>39</v>
      </c>
      <c r="B23" s="8" t="n">
        <v>2500</v>
      </c>
      <c r="C23" s="9"/>
      <c r="E23" s="7" t="s">
        <v>40</v>
      </c>
      <c r="F23" s="8" t="n">
        <v>100</v>
      </c>
      <c r="G23" s="9"/>
    </row>
    <row r="24" customFormat="false" ht="15" hidden="false" customHeight="false" outlineLevel="0" collapsed="false">
      <c r="A24" s="7" t="s">
        <v>41</v>
      </c>
      <c r="B24" s="8" t="n">
        <v>1200</v>
      </c>
      <c r="C24" s="9"/>
      <c r="E24" s="7" t="s">
        <v>42</v>
      </c>
      <c r="F24" s="8" t="n">
        <v>150</v>
      </c>
      <c r="G24" s="9"/>
    </row>
    <row r="25" customFormat="false" ht="15" hidden="false" customHeight="false" outlineLevel="0" collapsed="false">
      <c r="A25" s="7" t="s">
        <v>43</v>
      </c>
      <c r="B25" s="8" t="n">
        <v>3000</v>
      </c>
      <c r="C25" s="9"/>
      <c r="E25" s="5" t="s">
        <v>44</v>
      </c>
      <c r="F25" s="6"/>
      <c r="G25" s="6"/>
    </row>
    <row r="26" customFormat="false" ht="15" hidden="false" customHeight="false" outlineLevel="0" collapsed="false">
      <c r="A26" s="7" t="s">
        <v>45</v>
      </c>
      <c r="B26" s="8" t="n">
        <v>1500</v>
      </c>
      <c r="C26" s="9"/>
      <c r="E26" s="7" t="s">
        <v>46</v>
      </c>
      <c r="F26" s="8" t="n">
        <v>1200</v>
      </c>
      <c r="G26" s="9"/>
    </row>
    <row r="27" customFormat="false" ht="15" hidden="false" customHeight="false" outlineLevel="0" collapsed="false">
      <c r="A27" s="7" t="s">
        <v>47</v>
      </c>
      <c r="B27" s="8" t="n">
        <v>1000</v>
      </c>
      <c r="C27" s="9"/>
      <c r="E27" s="7" t="s">
        <v>48</v>
      </c>
      <c r="F27" s="8" t="n">
        <v>100</v>
      </c>
      <c r="G27" s="9"/>
    </row>
    <row r="28" customFormat="false" ht="15" hidden="false" customHeight="false" outlineLevel="0" collapsed="false">
      <c r="A28" s="7" t="s">
        <v>49</v>
      </c>
      <c r="B28" s="8" t="n">
        <v>2000</v>
      </c>
      <c r="C28" s="9"/>
      <c r="E28" s="7" t="s">
        <v>50</v>
      </c>
      <c r="F28" s="8" t="n">
        <v>100</v>
      </c>
      <c r="G28" s="9"/>
    </row>
    <row r="29" customFormat="false" ht="15" hidden="false" customHeight="false" outlineLevel="0" collapsed="false">
      <c r="A29" s="5" t="s">
        <v>51</v>
      </c>
      <c r="B29" s="6"/>
      <c r="C29" s="6"/>
      <c r="E29" s="7" t="s">
        <v>52</v>
      </c>
      <c r="F29" s="8" t="n">
        <v>500</v>
      </c>
      <c r="G29" s="9"/>
    </row>
    <row r="30" customFormat="false" ht="15" hidden="false" customHeight="false" outlineLevel="0" collapsed="false">
      <c r="A30" s="7" t="s">
        <v>53</v>
      </c>
      <c r="B30" s="8" t="n">
        <v>2000</v>
      </c>
      <c r="C30" s="9"/>
      <c r="E30" s="5" t="s">
        <v>54</v>
      </c>
      <c r="F30" s="6"/>
      <c r="G30" s="6"/>
    </row>
    <row r="31" customFormat="false" ht="15" hidden="false" customHeight="false" outlineLevel="0" collapsed="false">
      <c r="A31" s="7" t="s">
        <v>55</v>
      </c>
      <c r="B31" s="8" t="n">
        <v>1500</v>
      </c>
      <c r="C31" s="9"/>
      <c r="E31" s="7" t="s">
        <v>56</v>
      </c>
      <c r="F31" s="8" t="n">
        <v>300</v>
      </c>
      <c r="G31" s="9"/>
    </row>
    <row r="32" customFormat="false" ht="15" hidden="false" customHeight="false" outlineLevel="0" collapsed="false">
      <c r="A32" s="7" t="s">
        <v>57</v>
      </c>
      <c r="B32" s="8" t="n">
        <v>800</v>
      </c>
      <c r="C32" s="9"/>
      <c r="E32" s="5" t="s">
        <v>58</v>
      </c>
      <c r="F32" s="6"/>
      <c r="G32" s="6"/>
    </row>
    <row r="33" customFormat="false" ht="15" hidden="false" customHeight="false" outlineLevel="0" collapsed="false">
      <c r="A33" s="7" t="s">
        <v>59</v>
      </c>
      <c r="B33" s="8" t="n">
        <v>3000</v>
      </c>
      <c r="C33" s="9"/>
      <c r="E33" s="7" t="s">
        <v>60</v>
      </c>
      <c r="F33" s="8" t="n">
        <v>300</v>
      </c>
      <c r="G33" s="9"/>
    </row>
    <row r="34" customFormat="false" ht="15" hidden="false" customHeight="false" outlineLevel="0" collapsed="false">
      <c r="A34" s="7" t="s">
        <v>61</v>
      </c>
      <c r="B34" s="8" t="n">
        <v>2000</v>
      </c>
      <c r="C34" s="9"/>
      <c r="E34" s="7" t="s">
        <v>62</v>
      </c>
      <c r="F34" s="8" t="n">
        <v>500</v>
      </c>
      <c r="G34" s="9"/>
    </row>
    <row r="35" customFormat="false" ht="15" hidden="false" customHeight="false" outlineLevel="0" collapsed="false">
      <c r="A35" s="5" t="s">
        <v>63</v>
      </c>
      <c r="B35" s="6"/>
      <c r="C35" s="6"/>
    </row>
    <row r="36" customFormat="false" ht="15" hidden="false" customHeight="false" outlineLevel="0" collapsed="false">
      <c r="A36" s="7" t="s">
        <v>64</v>
      </c>
      <c r="B36" s="8" t="n">
        <v>3000</v>
      </c>
      <c r="C36" s="9"/>
    </row>
    <row r="37" customFormat="false" ht="15" hidden="false" customHeight="false" outlineLevel="0" collapsed="false">
      <c r="A37" s="7" t="s">
        <v>65</v>
      </c>
      <c r="B37" s="8" t="n">
        <v>800</v>
      </c>
      <c r="C37" s="9"/>
    </row>
    <row r="38" customFormat="false" ht="15" hidden="false" customHeight="false" outlineLevel="0" collapsed="false">
      <c r="A38" s="7" t="s">
        <v>66</v>
      </c>
      <c r="B38" s="8" t="n">
        <v>1500</v>
      </c>
      <c r="C38" s="9"/>
    </row>
    <row r="39" customFormat="false" ht="15" hidden="false" customHeight="false" outlineLevel="0" collapsed="false">
      <c r="A39" s="5" t="s">
        <v>67</v>
      </c>
      <c r="B39" s="6"/>
      <c r="C39" s="6"/>
    </row>
    <row r="40" customFormat="false" ht="15" hidden="false" customHeight="false" outlineLevel="0" collapsed="false">
      <c r="A40" s="7" t="s">
        <v>68</v>
      </c>
      <c r="B40" s="8" t="n">
        <v>2000</v>
      </c>
      <c r="C40" s="9"/>
    </row>
    <row r="41" customFormat="false" ht="15" hidden="false" customHeight="false" outlineLevel="0" collapsed="false">
      <c r="A41" s="7" t="s">
        <v>69</v>
      </c>
      <c r="B41" s="8" t="n">
        <v>2000</v>
      </c>
      <c r="C41" s="9"/>
    </row>
    <row r="42" customFormat="false" ht="15" hidden="false" customHeight="false" outlineLevel="0" collapsed="false">
      <c r="A42" s="7" t="s">
        <v>70</v>
      </c>
      <c r="B42" s="8" t="n">
        <v>500</v>
      </c>
      <c r="C42" s="9"/>
    </row>
    <row r="43" customFormat="false" ht="15" hidden="false" customHeight="false" outlineLevel="0" collapsed="false">
      <c r="A43" s="7" t="s">
        <v>71</v>
      </c>
      <c r="B43" s="8" t="n">
        <v>300</v>
      </c>
      <c r="C43" s="9"/>
    </row>
    <row r="44" customFormat="false" ht="15" hidden="false" customHeight="false" outlineLevel="0" collapsed="false">
      <c r="A44" s="7" t="s">
        <v>72</v>
      </c>
      <c r="B44" s="8" t="n">
        <v>1500</v>
      </c>
      <c r="C44" s="9"/>
    </row>
    <row r="45" customFormat="false" ht="15" hidden="false" customHeight="false" outlineLevel="0" collapsed="false">
      <c r="A45" s="5" t="s">
        <v>73</v>
      </c>
      <c r="B45" s="6"/>
      <c r="C45" s="6"/>
    </row>
    <row r="46" customFormat="false" ht="15" hidden="false" customHeight="false" outlineLevel="0" collapsed="false">
      <c r="A46" s="7" t="s">
        <v>74</v>
      </c>
      <c r="B46" s="8" t="n">
        <v>100</v>
      </c>
      <c r="C46" s="9"/>
    </row>
    <row r="47" customFormat="false" ht="15" hidden="false" customHeight="false" outlineLevel="0" collapsed="false">
      <c r="A47" s="7" t="s">
        <v>75</v>
      </c>
      <c r="B47" s="8" t="n">
        <v>500</v>
      </c>
      <c r="C47" s="9"/>
    </row>
    <row r="48" customFormat="false" ht="15" hidden="false" customHeight="false" outlineLevel="0" collapsed="false">
      <c r="A48" s="7" t="s">
        <v>76</v>
      </c>
      <c r="B48" s="8" t="n">
        <v>100</v>
      </c>
      <c r="C48" s="9"/>
    </row>
    <row r="49" customFormat="false" ht="15" hidden="false" customHeight="false" outlineLevel="0" collapsed="false">
      <c r="A49" s="7" t="s">
        <v>77</v>
      </c>
      <c r="B49" s="8" t="n">
        <v>3000</v>
      </c>
      <c r="C49" s="9"/>
    </row>
    <row r="50" customFormat="false" ht="15" hidden="false" customHeight="false" outlineLevel="0" collapsed="false">
      <c r="A50" s="7" t="s">
        <v>78</v>
      </c>
      <c r="B50" s="8" t="n">
        <v>2000</v>
      </c>
      <c r="C50" s="9"/>
    </row>
    <row r="51" customFormat="false" ht="15" hidden="false" customHeight="false" outlineLevel="0" collapsed="false">
      <c r="A51" s="7" t="s">
        <v>79</v>
      </c>
      <c r="B51" s="8" t="n">
        <v>3500</v>
      </c>
      <c r="C51" s="9"/>
    </row>
    <row r="52" customFormat="false" ht="15" hidden="false" customHeight="false" outlineLevel="0" collapsed="false">
      <c r="A52" s="7" t="s">
        <v>80</v>
      </c>
      <c r="B52" s="8" t="n">
        <v>30</v>
      </c>
      <c r="C52" s="9"/>
    </row>
    <row r="53" customFormat="false" ht="15" hidden="false" customHeight="false" outlineLevel="0" collapsed="false">
      <c r="A53" s="7" t="s">
        <v>81</v>
      </c>
      <c r="B53" s="8" t="n">
        <v>350</v>
      </c>
      <c r="C53" s="9"/>
    </row>
    <row r="54" customFormat="false" ht="15" hidden="false" customHeight="false" outlineLevel="0" collapsed="false">
      <c r="A54" s="5" t="s">
        <v>82</v>
      </c>
      <c r="B54" s="6"/>
      <c r="C54" s="6"/>
    </row>
    <row r="55" customFormat="false" ht="15" hidden="false" customHeight="false" outlineLevel="0" collapsed="false">
      <c r="A55" s="7" t="s">
        <v>83</v>
      </c>
      <c r="B55" s="8" t="n">
        <v>10000</v>
      </c>
      <c r="C55" s="9"/>
    </row>
    <row r="57" customFormat="false" ht="15" hidden="false" customHeight="false" outlineLevel="0" collapsed="false">
      <c r="A57" s="10" t="s">
        <v>84</v>
      </c>
      <c r="B57" s="11" t="n">
        <f aca="false">SUM(B7:B55)</f>
        <v>194680</v>
      </c>
      <c r="C57" s="11" t="n">
        <f aca="false">SUM(C7:C55)</f>
        <v>0</v>
      </c>
      <c r="E57" s="10" t="s">
        <v>85</v>
      </c>
      <c r="F57" s="11" t="n">
        <f aca="false">SUM(F7:F34)</f>
        <v>14770</v>
      </c>
      <c r="G57" s="11" t="n">
        <f aca="false">SUM(G7:G34)</f>
        <v>0</v>
      </c>
    </row>
    <row r="59" customFormat="false" ht="15" hidden="false" customHeight="false" outlineLevel="0" collapsed="false">
      <c r="A59" s="12" t="s">
        <v>86</v>
      </c>
      <c r="B59" s="13" t="n">
        <f aca="false">B57+(F57*3)</f>
        <v>238990</v>
      </c>
    </row>
    <row r="60" customFormat="false" ht="15" hidden="false" customHeight="false" outlineLevel="0" collapsed="false">
      <c r="A60" s="1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2026-07-03T23:47:23Z</dcterms:created>
  <dc:creator>openpyxl</dc:creator>
  <dc:description/>
  <dc:language>en-US</dc:language>
  <cp:lastModifiedBy/>
  <dcterms:modified xsi:type="dcterms:W3CDTF">2026-07-03T23:47:23Z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