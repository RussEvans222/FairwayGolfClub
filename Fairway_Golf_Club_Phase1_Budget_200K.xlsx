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dget Summar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<sst xmlns="http://schemas.openxmlformats.org/spreadsheetml/2006/main" count="116" uniqueCount="115">
  <si>
    <t xml:space="preserve">FAIRWAY GOLF CLUB</t>
  </si>
  <si>
    <t xml:space="preserve">Phase 1 Budget — Value-Engineered Build</t>
  </si>
  <si>
    <t xml:space="preserve">Target: Under $200K | 2 Bays | Premium Aesthetic</t>
  </si>
  <si>
    <t xml:space="preserve">Category</t>
  </si>
  <si>
    <t xml:space="preserve">Budget</t>
  </si>
  <si>
    <t xml:space="preserve">Full Premium</t>
  </si>
  <si>
    <t xml:space="preserve">Smart Swap / Notes</t>
  </si>
  <si>
    <t xml:space="preserve">SIMULATOR EQUIPMENT</t>
  </si>
  <si>
    <t xml:space="preserve">Uneekor EYE XO2 launch monitors (x2)</t>
  </si>
  <si>
    <t xml:space="preserve">Non-negotiable — best API + accuracy</t>
  </si>
  <si>
    <t xml:space="preserve">Projectors — Optoma GT2160HDR short-throw (x2)</t>
  </si>
  <si>
    <t xml:space="preserve">$2K ea vs $3.5K BenQ cinema-grade</t>
  </si>
  <si>
    <t xml:space="preserve">Impact screens — Carl's Place premium (x2)</t>
  </si>
  <si>
    <t xml:space="preserve">$800 ea; performs like $1,500 screens</t>
  </si>
  <si>
    <t xml:space="preserve">Enclosure frames — DIY steel tube (x2)</t>
  </si>
  <si>
    <t xml:space="preserve">Steel tube + local welding vs pre-fab</t>
  </si>
  <si>
    <t xml:space="preserve">Gaming PCs — custom build (x2)</t>
  </si>
  <si>
    <t xml:space="preserve">Build vs buy; i7 + RTX 4070 is plenty</t>
  </si>
  <si>
    <t xml:space="preserve">Software licenses (GSPro + Uneekor)</t>
  </si>
  <si>
    <t xml:space="preserve">GSPro at $250/yr; Uneekor View included</t>
  </si>
  <si>
    <t xml:space="preserve">Hitting mats — Fiberbuilt (x2)</t>
  </si>
  <si>
    <t xml:space="preserve">Don't cheap out — joint protection</t>
  </si>
  <si>
    <t xml:space="preserve">Auto-tee system — ProTee (x2)</t>
  </si>
  <si>
    <t xml:space="preserve">Key differentiator; includes ball return</t>
  </si>
  <si>
    <t xml:space="preserve">Side monitors — data display (x2)</t>
  </si>
  <si>
    <t xml:space="preserve">32" 4K from Costco vs commercial displays</t>
  </si>
  <si>
    <t xml:space="preserve">BAY CONSTRUCTION</t>
  </si>
  <si>
    <t xml:space="preserve">Bay framing + drywall (2 bays)</t>
  </si>
  <si>
    <t xml:space="preserve">Standard stud framing; 12x15 each</t>
  </si>
  <si>
    <t xml:space="preserve">Acoustic panels — DIY mineral wool + fabric</t>
  </si>
  <si>
    <t xml:space="preserve">$300/bay DIY vs $4K/bay commercial</t>
  </si>
  <si>
    <t xml:space="preserve">Turf flooring — SynLawn putting grade</t>
  </si>
  <si>
    <t xml:space="preserve">Direct-buy roll vs installed premium</t>
  </si>
  <si>
    <t xml:space="preserve">Sloped ball return floor — custom build</t>
  </si>
  <si>
    <t xml:space="preserve">Concrete slope + turf overlay</t>
  </si>
  <si>
    <t xml:space="preserve">Electrical — dedicated circuits + lighting</t>
  </si>
  <si>
    <t xml:space="preserve">Licensed electrician, just the bays</t>
  </si>
  <si>
    <t xml:space="preserve">HVAC — mini-split per bay</t>
  </si>
  <si>
    <t xml:space="preserve">One 12K BTU unit serves both bays</t>
  </si>
  <si>
    <t xml:space="preserve">Bay divider wall</t>
  </si>
  <si>
    <t xml:space="preserve">Framed wall, acoustic insulation</t>
  </si>
  <si>
    <t xml:space="preserve">LED strip lighting — bay perimeter</t>
  </si>
  <si>
    <t xml:space="preserve">Amazon LED strips vs custom install</t>
  </si>
  <si>
    <t xml:space="preserve">LOUNGE &amp; RECEPTION</t>
  </si>
  <si>
    <t xml:space="preserve">Chesterfield sofa (x1 real + x1 quality repro)</t>
  </si>
  <si>
    <t xml:space="preserve">FB Marketplace + Article.com vs RH</t>
  </si>
  <si>
    <t xml:space="preserve">Coffee table — reclaimed wood</t>
  </si>
  <si>
    <t xml:space="preserve">FB Marketplace / estate sale</t>
  </si>
  <si>
    <t xml:space="preserve">Reception desk — local woodworker live-edge</t>
  </si>
  <si>
    <t xml:space="preserve">Instagram craftsman vs commercial</t>
  </si>
  <si>
    <t xml:space="preserve">Bar top — butcher block + dark stain + live-edge cut</t>
  </si>
  <si>
    <t xml:space="preserve">Floor &amp; Decor slab vs custom mill</t>
  </si>
  <si>
    <t xml:space="preserve">Bar stools (x4) — faux leather</t>
  </si>
  <si>
    <t xml:space="preserve">Amazon commercial-grade vs designer</t>
  </si>
  <si>
    <t xml:space="preserve">Walnut veneer slat wall — reception accent</t>
  </si>
  <si>
    <t xml:space="preserve">Veneer panels vs solid walnut</t>
  </si>
  <si>
    <t xml:space="preserve">Bookshelf wall — IKEA hack + walnut stain</t>
  </si>
  <si>
    <t xml:space="preserve">KALLAX + stain + styled books</t>
  </si>
  <si>
    <t xml:space="preserve">Lighting — Edison pendants + gold ring fixture</t>
  </si>
  <si>
    <t xml:space="preserve">Amazon/Wayfair vs designer fixtures</t>
  </si>
  <si>
    <t xml:space="preserve">Paint — navy ceiling, warm white walls</t>
  </si>
  <si>
    <t xml:space="preserve">DIY weekend project</t>
  </si>
  <si>
    <t xml:space="preserve">Flooring — luxury vinyl plank (lounge area)</t>
  </si>
  <si>
    <t xml:space="preserve">LVP wide-plank walnut-look vs hardwood</t>
  </si>
  <si>
    <t xml:space="preserve">Curtains + window treatments</t>
  </si>
  <si>
    <t xml:space="preserve">IKEA linen panels</t>
  </si>
  <si>
    <t xml:space="preserve">Plants + styling + decor</t>
  </si>
  <si>
    <t xml:space="preserve">Mix of real + faux; thrift frames</t>
  </si>
  <si>
    <t xml:space="preserve">BEVERAGE SETUP</t>
  </si>
  <si>
    <t xml:space="preserve">4-tap draft system — complete</t>
  </si>
  <si>
    <t xml:space="preserve">Kegco or EdgeStar vs custom glycol</t>
  </si>
  <si>
    <t xml:space="preserve">Kegerator — dual-body commercial</t>
  </si>
  <si>
    <t xml:space="preserve">Craigslist commercial or scratch-dent</t>
  </si>
  <si>
    <t xml:space="preserve">Glassware + bar supplies</t>
  </si>
  <si>
    <t xml:space="preserve">Restaurant supply store</t>
  </si>
  <si>
    <t xml:space="preserve">Mini fridge — BYOB holding</t>
  </si>
  <si>
    <t xml:space="preserve">ABC license application</t>
  </si>
  <si>
    <t xml:space="preserve">VA retail off-premises; ~4-6 week process</t>
  </si>
  <si>
    <t xml:space="preserve">TECHNOLOGY &amp; SYSTEMS</t>
  </si>
  <si>
    <t xml:space="preserve">Salesforce platform (initial setup)</t>
  </si>
  <si>
    <t xml:space="preserve">Free tier to start; upgrade at 50+ members</t>
  </si>
  <si>
    <t xml:space="preserve">Booking system — Calendly/Square</t>
  </si>
  <si>
    <t xml:space="preserve">Free tier handles 2 bays easily</t>
  </si>
  <si>
    <t xml:space="preserve">Digital displays — leaderboard + welcome (x2)</t>
  </si>
  <si>
    <t xml:space="preserve">Consumer TVs + Raspberry Pi vs commercial</t>
  </si>
  <si>
    <t xml:space="preserve">Network + WiFi — Ubiquiti setup</t>
  </si>
  <si>
    <t xml:space="preserve">One AP + switch; overkill for 2 bays</t>
  </si>
  <si>
    <t xml:space="preserve">Security cameras (x3)</t>
  </si>
  <si>
    <t xml:space="preserve">Reolink PoE vs commercial NVR</t>
  </si>
  <si>
    <t xml:space="preserve">POS system — Square</t>
  </si>
  <si>
    <t xml:space="preserve">Free hardware with Square processing</t>
  </si>
  <si>
    <t xml:space="preserve">SIGNAGE &amp; BRANDING</t>
  </si>
  <si>
    <t xml:space="preserve">Exterior sign — channel letters</t>
  </si>
  <si>
    <t xml:space="preserve">Local sign shop vs architectural firm</t>
  </si>
  <si>
    <t xml:space="preserve">Logo wall — vinyl + LED backlight</t>
  </si>
  <si>
    <t xml:space="preserve">Vinyl on painted MDF + LED strip vs CNC metal</t>
  </si>
  <si>
    <t xml:space="preserve">Interior wayfinding + bay numbers</t>
  </si>
  <si>
    <t xml:space="preserve">Vinyl decals + brushed gold number plates</t>
  </si>
  <si>
    <t xml:space="preserve">SOFT COSTS &amp; WORKING CAPITAL</t>
  </si>
  <si>
    <t xml:space="preserve">Permits + inspections</t>
  </si>
  <si>
    <t xml:space="preserve">Fairfax County commercial build</t>
  </si>
  <si>
    <t xml:space="preserve">Insurance (6 months prepaid)</t>
  </si>
  <si>
    <t xml:space="preserve">GL + property + liquor liability</t>
  </si>
  <si>
    <t xml:space="preserve">Legal — lease review + LLC</t>
  </si>
  <si>
    <t xml:space="preserve">Marketing — launch campaign</t>
  </si>
  <si>
    <t xml:space="preserve">Instagram + Google Ads + local PR</t>
  </si>
  <si>
    <t xml:space="preserve">Working capital (3 months buffer)</t>
  </si>
  <si>
    <t xml:space="preserve">Covers rent + utilities + payroll gap</t>
  </si>
  <si>
    <t xml:space="preserve">Contingency (10%)</t>
  </si>
  <si>
    <t xml:space="preserve">SUBTOTAL (before contingency)</t>
  </si>
  <si>
    <t xml:space="preserve">TOTAL PHASE 1 INVESTMENT</t>
  </si>
  <si>
    <t xml:space="preserve">SAVINGS vs Full Premium</t>
  </si>
  <si>
    <t xml:space="preserve">Legend:</t>
  </si>
  <si>
    <t xml:space="preserve">Blue values = hardcoded inputs you can adjust</t>
  </si>
  <si>
    <t xml:space="preserve">Gray values = "full premium" comparisons from renders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</si>
</sst>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B8860B"/>
      <name val="Arial"/>
      <family val="0"/>
      <charset val="1"/>
    </font>
    <font>
      <sz val="12"/>
      <color rgb="FF666666"/>
      <name val="Arial"/>
      <family val="0"/>
      <charset val="1"/>
    </font>
    <font>
      <i val="true"/>
      <sz val="10"/>
      <color rgb="FF1E2A3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B8860B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1E2A3A"/>
      <name val="Arial"/>
      <family val="0"/>
      <charset val="1"/>
    </font>
    <font>
      <b val="true"/>
      <sz val="11"/>
      <color rgb="FF666666"/>
      <name val="Arial"/>
      <family val="0"/>
      <charset val="1"/>
    </font>
    <font>
      <b val="true"/>
      <sz val="11"/>
      <color rgb="FF228B2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E2A3A"/>
        <bgColor rgb="FF00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/>
      <right/>
      <top style="medium">
        <color rgb="FF1E2A3A"/>
      </top>
      <bottom style="medium">
        <color rgb="FF1E2A3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28B22"/>
      <rgbColor rgb="FF000080"/>
      <rgbColor rgb="FFB8860B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A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8"/>
    <col collapsed="false" customWidth="true" hidden="false" outlineLevel="0" max="4" min="3" style="0" width="16"/>
    <col collapsed="false" customWidth="true" hidden="false" outlineLevel="0" max="5" min="5" style="0" width="32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  <c r="D5" s="5" t="s">
        <v>5</v>
      </c>
      <c r="E5" s="4" t="s">
        <v>6</v>
      </c>
    </row>
    <row r="7" customFormat="false" ht="15" hidden="false" customHeight="false" outlineLevel="0" collapsed="false">
      <c r="B7" s="6" t="s">
        <v>7</v>
      </c>
    </row>
    <row r="8" customFormat="false" ht="15" hidden="false" customHeight="false" outlineLevel="0" collapsed="false">
      <c r="B8" s="7" t="s">
        <v>8</v>
      </c>
      <c r="C8" s="8" t="n">
        <v>22000</v>
      </c>
      <c r="D8" s="9" t="n">
        <v>22000</v>
      </c>
      <c r="E8" s="10" t="s">
        <v>9</v>
      </c>
    </row>
    <row r="9" customFormat="false" ht="15" hidden="false" customHeight="false" outlineLevel="0" collapsed="false">
      <c r="B9" s="7" t="s">
        <v>10</v>
      </c>
      <c r="C9" s="8" t="n">
        <v>4000</v>
      </c>
      <c r="D9" s="9" t="n">
        <v>7000</v>
      </c>
      <c r="E9" s="10" t="s">
        <v>11</v>
      </c>
    </row>
    <row r="10" customFormat="false" ht="15" hidden="false" customHeight="false" outlineLevel="0" collapsed="false">
      <c r="B10" s="7" t="s">
        <v>12</v>
      </c>
      <c r="C10" s="8" t="n">
        <v>1600</v>
      </c>
      <c r="D10" s="9" t="n">
        <v>3000</v>
      </c>
      <c r="E10" s="10" t="s">
        <v>13</v>
      </c>
    </row>
    <row r="11" customFormat="false" ht="15" hidden="false" customHeight="false" outlineLevel="0" collapsed="false">
      <c r="B11" s="7" t="s">
        <v>14</v>
      </c>
      <c r="C11" s="8" t="n">
        <v>1200</v>
      </c>
      <c r="D11" s="9" t="n">
        <v>4000</v>
      </c>
      <c r="E11" s="10" t="s">
        <v>15</v>
      </c>
    </row>
    <row r="12" customFormat="false" ht="15" hidden="false" customHeight="false" outlineLevel="0" collapsed="false">
      <c r="B12" s="7" t="s">
        <v>16</v>
      </c>
      <c r="C12" s="8" t="n">
        <v>4000</v>
      </c>
      <c r="D12" s="9" t="n">
        <v>6000</v>
      </c>
      <c r="E12" s="10" t="s">
        <v>17</v>
      </c>
    </row>
    <row r="13" customFormat="false" ht="15" hidden="false" customHeight="false" outlineLevel="0" collapsed="false">
      <c r="B13" s="7" t="s">
        <v>18</v>
      </c>
      <c r="C13" s="8" t="n">
        <v>1500</v>
      </c>
      <c r="D13" s="9" t="n">
        <v>1500</v>
      </c>
      <c r="E13" s="10" t="s">
        <v>19</v>
      </c>
    </row>
    <row r="14" customFormat="false" ht="15" hidden="false" customHeight="false" outlineLevel="0" collapsed="false">
      <c r="B14" s="7" t="s">
        <v>20</v>
      </c>
      <c r="C14" s="8" t="n">
        <v>2400</v>
      </c>
      <c r="D14" s="9" t="n">
        <v>2400</v>
      </c>
      <c r="E14" s="10" t="s">
        <v>21</v>
      </c>
    </row>
    <row r="15" customFormat="false" ht="15" hidden="false" customHeight="false" outlineLevel="0" collapsed="false">
      <c r="B15" s="7" t="s">
        <v>22</v>
      </c>
      <c r="C15" s="8" t="n">
        <v>6000</v>
      </c>
      <c r="D15" s="9" t="n">
        <v>6000</v>
      </c>
      <c r="E15" s="10" t="s">
        <v>23</v>
      </c>
    </row>
    <row r="16" customFormat="false" ht="15" hidden="false" customHeight="false" outlineLevel="0" collapsed="false">
      <c r="B16" s="7" t="s">
        <v>24</v>
      </c>
      <c r="C16" s="8" t="n">
        <v>800</v>
      </c>
      <c r="D16" s="9" t="n">
        <v>1600</v>
      </c>
      <c r="E16" s="10" t="s">
        <v>25</v>
      </c>
    </row>
    <row r="18" customFormat="false" ht="15" hidden="false" customHeight="false" outlineLevel="0" collapsed="false">
      <c r="B18" s="6" t="s">
        <v>26</v>
      </c>
    </row>
    <row r="19" customFormat="false" ht="15" hidden="false" customHeight="false" outlineLevel="0" collapsed="false">
      <c r="B19" s="7" t="s">
        <v>27</v>
      </c>
      <c r="C19" s="8" t="n">
        <v>8000</v>
      </c>
      <c r="D19" s="9" t="n">
        <v>12000</v>
      </c>
      <c r="E19" s="10" t="s">
        <v>28</v>
      </c>
    </row>
    <row r="20" customFormat="false" ht="15" hidden="false" customHeight="false" outlineLevel="0" collapsed="false">
      <c r="B20" s="7" t="s">
        <v>29</v>
      </c>
      <c r="C20" s="8" t="n">
        <v>2400</v>
      </c>
      <c r="D20" s="9" t="n">
        <v>8000</v>
      </c>
      <c r="E20" s="10" t="s">
        <v>30</v>
      </c>
    </row>
    <row r="21" customFormat="false" ht="15" hidden="false" customHeight="false" outlineLevel="0" collapsed="false">
      <c r="B21" s="7" t="s">
        <v>31</v>
      </c>
      <c r="C21" s="8" t="n">
        <v>3200</v>
      </c>
      <c r="D21" s="9" t="n">
        <v>5000</v>
      </c>
      <c r="E21" s="10" t="s">
        <v>32</v>
      </c>
    </row>
    <row r="22" customFormat="false" ht="15" hidden="false" customHeight="false" outlineLevel="0" collapsed="false">
      <c r="B22" s="7" t="s">
        <v>33</v>
      </c>
      <c r="C22" s="8" t="n">
        <v>3000</v>
      </c>
      <c r="D22" s="9" t="n">
        <v>5000</v>
      </c>
      <c r="E22" s="10" t="s">
        <v>34</v>
      </c>
    </row>
    <row r="23" customFormat="false" ht="15" hidden="false" customHeight="false" outlineLevel="0" collapsed="false">
      <c r="B23" s="7" t="s">
        <v>35</v>
      </c>
      <c r="C23" s="8" t="n">
        <v>5000</v>
      </c>
      <c r="D23" s="9" t="n">
        <v>8000</v>
      </c>
      <c r="E23" s="10" t="s">
        <v>36</v>
      </c>
    </row>
    <row r="24" customFormat="false" ht="15" hidden="false" customHeight="false" outlineLevel="0" collapsed="false">
      <c r="B24" s="7" t="s">
        <v>37</v>
      </c>
      <c r="C24" s="8" t="n">
        <v>4000</v>
      </c>
      <c r="D24" s="9" t="n">
        <v>6000</v>
      </c>
      <c r="E24" s="10" t="s">
        <v>38</v>
      </c>
    </row>
    <row r="25" customFormat="false" ht="15" hidden="false" customHeight="false" outlineLevel="0" collapsed="false">
      <c r="B25" s="7" t="s">
        <v>39</v>
      </c>
      <c r="C25" s="8" t="n">
        <v>1500</v>
      </c>
      <c r="D25" s="9" t="n">
        <v>3000</v>
      </c>
      <c r="E25" s="10" t="s">
        <v>40</v>
      </c>
    </row>
    <row r="26" customFormat="false" ht="15" hidden="false" customHeight="false" outlineLevel="0" collapsed="false">
      <c r="B26" s="7" t="s">
        <v>41</v>
      </c>
      <c r="C26" s="8" t="n">
        <v>600</v>
      </c>
      <c r="D26" s="9" t="n">
        <v>2000</v>
      </c>
      <c r="E26" s="10" t="s">
        <v>42</v>
      </c>
    </row>
    <row r="28" customFormat="false" ht="15" hidden="false" customHeight="false" outlineLevel="0" collapsed="false">
      <c r="B28" s="6" t="s">
        <v>43</v>
      </c>
    </row>
    <row r="29" customFormat="false" ht="15" hidden="false" customHeight="false" outlineLevel="0" collapsed="false">
      <c r="B29" s="7" t="s">
        <v>44</v>
      </c>
      <c r="C29" s="8" t="n">
        <v>2800</v>
      </c>
      <c r="D29" s="9" t="n">
        <v>12000</v>
      </c>
      <c r="E29" s="10" t="s">
        <v>45</v>
      </c>
    </row>
    <row r="30" customFormat="false" ht="15" hidden="false" customHeight="false" outlineLevel="0" collapsed="false">
      <c r="B30" s="7" t="s">
        <v>46</v>
      </c>
      <c r="C30" s="8" t="n">
        <v>400</v>
      </c>
      <c r="D30" s="9" t="n">
        <v>2000</v>
      </c>
      <c r="E30" s="10" t="s">
        <v>47</v>
      </c>
    </row>
    <row r="31" customFormat="false" ht="15" hidden="false" customHeight="false" outlineLevel="0" collapsed="false">
      <c r="B31" s="7" t="s">
        <v>48</v>
      </c>
      <c r="C31" s="8" t="n">
        <v>2500</v>
      </c>
      <c r="D31" s="9" t="n">
        <v>8000</v>
      </c>
      <c r="E31" s="10" t="s">
        <v>49</v>
      </c>
    </row>
    <row r="32" customFormat="false" ht="15" hidden="false" customHeight="false" outlineLevel="0" collapsed="false">
      <c r="B32" s="7" t="s">
        <v>50</v>
      </c>
      <c r="C32" s="8" t="n">
        <v>1200</v>
      </c>
      <c r="D32" s="9" t="n">
        <v>8000</v>
      </c>
      <c r="E32" s="10" t="s">
        <v>51</v>
      </c>
    </row>
    <row r="33" customFormat="false" ht="15" hidden="false" customHeight="false" outlineLevel="0" collapsed="false">
      <c r="B33" s="7" t="s">
        <v>52</v>
      </c>
      <c r="C33" s="8" t="n">
        <v>800</v>
      </c>
      <c r="D33" s="9" t="n">
        <v>3000</v>
      </c>
      <c r="E33" s="10" t="s">
        <v>53</v>
      </c>
    </row>
    <row r="34" customFormat="false" ht="15" hidden="false" customHeight="false" outlineLevel="0" collapsed="false">
      <c r="B34" s="7" t="s">
        <v>54</v>
      </c>
      <c r="C34" s="8" t="n">
        <v>1800</v>
      </c>
      <c r="D34" s="9" t="n">
        <v>6000</v>
      </c>
      <c r="E34" s="10" t="s">
        <v>55</v>
      </c>
    </row>
    <row r="35" customFormat="false" ht="15" hidden="false" customHeight="false" outlineLevel="0" collapsed="false">
      <c r="B35" s="7" t="s">
        <v>56</v>
      </c>
      <c r="C35" s="8" t="n">
        <v>400</v>
      </c>
      <c r="D35" s="9" t="n">
        <v>3000</v>
      </c>
      <c r="E35" s="10" t="s">
        <v>57</v>
      </c>
    </row>
    <row r="36" customFormat="false" ht="15" hidden="false" customHeight="false" outlineLevel="0" collapsed="false">
      <c r="B36" s="7" t="s">
        <v>58</v>
      </c>
      <c r="C36" s="8" t="n">
        <v>1200</v>
      </c>
      <c r="D36" s="9" t="n">
        <v>5000</v>
      </c>
      <c r="E36" s="10" t="s">
        <v>59</v>
      </c>
    </row>
    <row r="37" customFormat="false" ht="15" hidden="false" customHeight="false" outlineLevel="0" collapsed="false">
      <c r="B37" s="7" t="s">
        <v>60</v>
      </c>
      <c r="C37" s="8" t="n">
        <v>800</v>
      </c>
      <c r="D37" s="9" t="n">
        <v>800</v>
      </c>
      <c r="E37" s="10" t="s">
        <v>61</v>
      </c>
    </row>
    <row r="38" customFormat="false" ht="15" hidden="false" customHeight="false" outlineLevel="0" collapsed="false">
      <c r="B38" s="7" t="s">
        <v>62</v>
      </c>
      <c r="C38" s="8" t="n">
        <v>3000</v>
      </c>
      <c r="D38" s="9" t="n">
        <v>8000</v>
      </c>
      <c r="E38" s="10" t="s">
        <v>63</v>
      </c>
    </row>
    <row r="39" customFormat="false" ht="15" hidden="false" customHeight="false" outlineLevel="0" collapsed="false">
      <c r="B39" s="7" t="s">
        <v>64</v>
      </c>
      <c r="C39" s="8" t="n">
        <v>600</v>
      </c>
      <c r="D39" s="9" t="n">
        <v>2000</v>
      </c>
      <c r="E39" s="10" t="s">
        <v>65</v>
      </c>
    </row>
    <row r="40" customFormat="false" ht="15" hidden="false" customHeight="false" outlineLevel="0" collapsed="false">
      <c r="B40" s="7" t="s">
        <v>66</v>
      </c>
      <c r="C40" s="8" t="n">
        <v>800</v>
      </c>
      <c r="D40" s="9" t="n">
        <v>3000</v>
      </c>
      <c r="E40" s="10" t="s">
        <v>67</v>
      </c>
    </row>
    <row r="42" customFormat="false" ht="15" hidden="false" customHeight="false" outlineLevel="0" collapsed="false">
      <c r="B42" s="6" t="s">
        <v>68</v>
      </c>
    </row>
    <row r="43" customFormat="false" ht="15" hidden="false" customHeight="false" outlineLevel="0" collapsed="false">
      <c r="B43" s="7" t="s">
        <v>69</v>
      </c>
      <c r="C43" s="8" t="n">
        <v>2500</v>
      </c>
      <c r="D43" s="9" t="n">
        <v>5000</v>
      </c>
      <c r="E43" s="10" t="s">
        <v>70</v>
      </c>
    </row>
    <row r="44" customFormat="false" ht="15" hidden="false" customHeight="false" outlineLevel="0" collapsed="false">
      <c r="B44" s="7" t="s">
        <v>71</v>
      </c>
      <c r="C44" s="8" t="n">
        <v>1500</v>
      </c>
      <c r="D44" s="9" t="n">
        <v>3000</v>
      </c>
      <c r="E44" s="10" t="s">
        <v>72</v>
      </c>
    </row>
    <row r="45" customFormat="false" ht="15" hidden="false" customHeight="false" outlineLevel="0" collapsed="false">
      <c r="B45" s="7" t="s">
        <v>73</v>
      </c>
      <c r="C45" s="8" t="n">
        <v>500</v>
      </c>
      <c r="D45" s="9" t="n">
        <v>1500</v>
      </c>
      <c r="E45" s="10" t="s">
        <v>74</v>
      </c>
    </row>
    <row r="46" customFormat="false" ht="15" hidden="false" customHeight="false" outlineLevel="0" collapsed="false">
      <c r="B46" s="7" t="s">
        <v>75</v>
      </c>
      <c r="C46" s="8" t="n">
        <v>300</v>
      </c>
      <c r="D46" s="9" t="n">
        <v>300</v>
      </c>
      <c r="E46" s="11"/>
    </row>
    <row r="47" customFormat="false" ht="15" hidden="false" customHeight="false" outlineLevel="0" collapsed="false">
      <c r="B47" s="7" t="s">
        <v>76</v>
      </c>
      <c r="C47" s="8" t="n">
        <v>500</v>
      </c>
      <c r="D47" s="9" t="n">
        <v>500</v>
      </c>
      <c r="E47" s="10" t="s">
        <v>77</v>
      </c>
    </row>
    <row r="49" customFormat="false" ht="15" hidden="false" customHeight="false" outlineLevel="0" collapsed="false">
      <c r="B49" s="6" t="s">
        <v>78</v>
      </c>
    </row>
    <row r="50" customFormat="false" ht="15" hidden="false" customHeight="false" outlineLevel="0" collapsed="false">
      <c r="B50" s="7" t="s">
        <v>79</v>
      </c>
      <c r="C50" s="8" t="n">
        <v>0</v>
      </c>
      <c r="D50" s="9" t="n">
        <v>0</v>
      </c>
      <c r="E50" s="10" t="s">
        <v>80</v>
      </c>
    </row>
    <row r="51" customFormat="false" ht="15" hidden="false" customHeight="false" outlineLevel="0" collapsed="false">
      <c r="B51" s="7" t="s">
        <v>81</v>
      </c>
      <c r="C51" s="8" t="n">
        <v>0</v>
      </c>
      <c r="D51" s="9" t="n">
        <v>500</v>
      </c>
      <c r="E51" s="10" t="s">
        <v>82</v>
      </c>
    </row>
    <row r="52" customFormat="false" ht="15" hidden="false" customHeight="false" outlineLevel="0" collapsed="false">
      <c r="B52" s="7" t="s">
        <v>83</v>
      </c>
      <c r="C52" s="8" t="n">
        <v>1000</v>
      </c>
      <c r="D52" s="9" t="n">
        <v>4000</v>
      </c>
      <c r="E52" s="10" t="s">
        <v>84</v>
      </c>
    </row>
    <row r="53" customFormat="false" ht="15" hidden="false" customHeight="false" outlineLevel="0" collapsed="false">
      <c r="B53" s="7" t="s">
        <v>85</v>
      </c>
      <c r="C53" s="8" t="n">
        <v>500</v>
      </c>
      <c r="D53" s="9" t="n">
        <v>1500</v>
      </c>
      <c r="E53" s="10" t="s">
        <v>86</v>
      </c>
    </row>
    <row r="54" customFormat="false" ht="15" hidden="false" customHeight="false" outlineLevel="0" collapsed="false">
      <c r="B54" s="7" t="s">
        <v>87</v>
      </c>
      <c r="C54" s="8" t="n">
        <v>400</v>
      </c>
      <c r="D54" s="9" t="n">
        <v>1500</v>
      </c>
      <c r="E54" s="10" t="s">
        <v>88</v>
      </c>
    </row>
    <row r="55" customFormat="false" ht="15" hidden="false" customHeight="false" outlineLevel="0" collapsed="false">
      <c r="B55" s="7" t="s">
        <v>89</v>
      </c>
      <c r="C55" s="8" t="n">
        <v>0</v>
      </c>
      <c r="D55" s="9" t="n">
        <v>2000</v>
      </c>
      <c r="E55" s="10" t="s">
        <v>90</v>
      </c>
    </row>
    <row r="57" customFormat="false" ht="15" hidden="false" customHeight="false" outlineLevel="0" collapsed="false">
      <c r="B57" s="6" t="s">
        <v>91</v>
      </c>
    </row>
    <row r="58" customFormat="false" ht="15" hidden="false" customHeight="false" outlineLevel="0" collapsed="false">
      <c r="B58" s="7" t="s">
        <v>92</v>
      </c>
      <c r="C58" s="8" t="n">
        <v>3500</v>
      </c>
      <c r="D58" s="9" t="n">
        <v>15000</v>
      </c>
      <c r="E58" s="10" t="s">
        <v>93</v>
      </c>
    </row>
    <row r="59" customFormat="false" ht="15" hidden="false" customHeight="false" outlineLevel="0" collapsed="false">
      <c r="B59" s="7" t="s">
        <v>94</v>
      </c>
      <c r="C59" s="8" t="n">
        <v>800</v>
      </c>
      <c r="D59" s="9" t="n">
        <v>5000</v>
      </c>
      <c r="E59" s="10" t="s">
        <v>95</v>
      </c>
    </row>
    <row r="60" customFormat="false" ht="15" hidden="false" customHeight="false" outlineLevel="0" collapsed="false">
      <c r="B60" s="7" t="s">
        <v>96</v>
      </c>
      <c r="C60" s="8" t="n">
        <v>300</v>
      </c>
      <c r="D60" s="9" t="n">
        <v>1500</v>
      </c>
      <c r="E60" s="10" t="s">
        <v>97</v>
      </c>
    </row>
    <row r="62" customFormat="false" ht="15" hidden="false" customHeight="false" outlineLevel="0" collapsed="false">
      <c r="B62" s="6" t="s">
        <v>98</v>
      </c>
    </row>
    <row r="63" customFormat="false" ht="15" hidden="false" customHeight="false" outlineLevel="0" collapsed="false">
      <c r="B63" s="7" t="s">
        <v>99</v>
      </c>
      <c r="C63" s="8" t="n">
        <v>2000</v>
      </c>
      <c r="D63" s="9" t="n">
        <v>3000</v>
      </c>
      <c r="E63" s="10" t="s">
        <v>100</v>
      </c>
    </row>
    <row r="64" customFormat="false" ht="15" hidden="false" customHeight="false" outlineLevel="0" collapsed="false">
      <c r="B64" s="7" t="s">
        <v>101</v>
      </c>
      <c r="C64" s="8" t="n">
        <v>3000</v>
      </c>
      <c r="D64" s="9" t="n">
        <v>3000</v>
      </c>
      <c r="E64" s="10" t="s">
        <v>102</v>
      </c>
    </row>
    <row r="65" customFormat="false" ht="15" hidden="false" customHeight="false" outlineLevel="0" collapsed="false">
      <c r="B65" s="7" t="s">
        <v>103</v>
      </c>
      <c r="C65" s="8" t="n">
        <v>2000</v>
      </c>
      <c r="D65" s="9" t="n">
        <v>2000</v>
      </c>
      <c r="E65" s="11"/>
    </row>
    <row r="66" customFormat="false" ht="15" hidden="false" customHeight="false" outlineLevel="0" collapsed="false">
      <c r="B66" s="7" t="s">
        <v>104</v>
      </c>
      <c r="C66" s="8" t="n">
        <v>2000</v>
      </c>
      <c r="D66" s="9" t="n">
        <v>5000</v>
      </c>
      <c r="E66" s="10" t="s">
        <v>105</v>
      </c>
    </row>
    <row r="67" customFormat="false" ht="15" hidden="false" customHeight="false" outlineLevel="0" collapsed="false">
      <c r="B67" s="7" t="s">
        <v>106</v>
      </c>
      <c r="C67" s="8" t="n">
        <v>15000</v>
      </c>
      <c r="D67" s="9" t="n">
        <v>25000</v>
      </c>
      <c r="E67" s="10" t="s">
        <v>107</v>
      </c>
    </row>
    <row r="68" customFormat="false" ht="15" hidden="false" customHeight="false" outlineLevel="0" collapsed="false">
      <c r="B68" s="6" t="s">
        <v>108</v>
      </c>
    </row>
    <row r="70" customFormat="false" ht="15" hidden="false" customHeight="false" outlineLevel="0" collapsed="false">
      <c r="B70" s="12" t="s">
        <v>109</v>
      </c>
      <c r="C70" s="13" t="n">
        <f aca="false">SUM(C8,C9,C10,C11,C12,C13,C14,C15,C16,C19,C20,C21,C22,C23,C24,C25,C26,C29,C30,C31,C32,C33,C34,C35,C36,C37,C38,C39,C40,C43,C44,C45,C46,C47,C50,C51,C52,C53,C54,C55,C58,C59,C60,C63,C64,C65,C66,C67)</f>
        <v>123300</v>
      </c>
      <c r="D70" s="14" t="n">
        <f aca="false">SUM(D8,D9,D10,D11,D12,D13,D14,D15,D16,D19,D20,D21,D22,D23,D24,D25,D26,D29,D30,D31,D32,D33,D34,D35,D36,D37,D38,D39,D40,D43,D44,D45,D46,D47,D50,D51,D52,D53,D54,D55,D58,D59,D60,D63,D64,D65,D66,D67)</f>
        <v>242600</v>
      </c>
    </row>
    <row r="71" customFormat="false" ht="15" hidden="false" customHeight="false" outlineLevel="0" collapsed="false">
      <c r="B71" s="15" t="s">
        <v>108</v>
      </c>
      <c r="C71" s="16" t="n">
        <f aca="false">C70*0.1</f>
        <v>12330</v>
      </c>
      <c r="D71" s="14" t="n">
        <f aca="false">D70*0.1</f>
        <v>24260</v>
      </c>
    </row>
    <row r="72" customFormat="false" ht="15" hidden="false" customHeight="false" outlineLevel="0" collapsed="false">
      <c r="B72" s="17" t="s">
        <v>110</v>
      </c>
      <c r="C72" s="18" t="n">
        <f aca="false">C70+C71</f>
        <v>135630</v>
      </c>
      <c r="D72" s="19" t="n">
        <f aca="false">D70+D71</f>
        <v>266860</v>
      </c>
      <c r="E72" s="20"/>
    </row>
    <row r="73" customFormat="false" ht="15" hidden="false" customHeight="false" outlineLevel="0" collapsed="false">
      <c r="B73" s="12" t="s">
        <v>111</v>
      </c>
      <c r="C73" s="21" t="n">
        <f aca="false">D72-C72</f>
        <v>131230</v>
      </c>
    </row>
    <row r="75" customFormat="false" ht="15" hidden="false" customHeight="false" outlineLevel="0" collapsed="false">
      <c r="B75" s="12" t="s">
        <v>112</v>
      </c>
    </row>
    <row r="76" customFormat="false" ht="15" hidden="false" customHeight="false" outlineLevel="0" collapsed="false">
      <c r="B76" s="22" t="s">
        <v>113</v>
      </c>
    </row>
    <row r="77" customFormat="false" ht="15" hidden="false" customHeight="false" outlineLevel="0" collapsed="false">
      <c r="B77" s="23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2026-07-03T01:03:37Z</dcterms:created>
  <dc:creator>openpyxl</dc:creator>
  <dc:description/>
  <dc:language>en-US</dc:language>
  <cp:lastModifiedBy/>
  <dcterms:modified xsi:type="dcterms:W3CDTF">2026-07-03T01:03:37Z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